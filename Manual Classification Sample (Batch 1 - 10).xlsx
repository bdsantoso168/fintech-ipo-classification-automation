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Companies" sheetId="1" r:id="rId4"/>
    <sheet state="visible" name="Diagram Breakdown" sheetId="2" r:id="rId5"/>
  </sheets>
  <definedNames>
    <definedName hidden="1" localSheetId="0" name="_xlnm._FilterDatabase">'List of Companies'!$A$2:$Y$902</definedName>
  </definedNames>
  <calcPr/>
</workbook>
</file>

<file path=xl/sharedStrings.xml><?xml version="1.0" encoding="utf-8"?>
<sst xmlns="http://schemas.openxmlformats.org/spreadsheetml/2006/main" count="9339" uniqueCount="6259">
  <si>
    <t>Manual Classification</t>
  </si>
  <si>
    <t>NINAMES</t>
  </si>
  <si>
    <t>Final_CIK</t>
  </si>
  <si>
    <t>Verdict</t>
  </si>
  <si>
    <t>Brief Justification</t>
  </si>
  <si>
    <t>compname_compustat</t>
  </si>
  <si>
    <t>CIK_compustat</t>
  </si>
  <si>
    <t>CIK_copilot</t>
  </si>
  <si>
    <t>CIK_Jiamu</t>
  </si>
  <si>
    <t>CUSIP</t>
  </si>
  <si>
    <t>TICKER</t>
  </si>
  <si>
    <t>ticker_compustat</t>
  </si>
  <si>
    <t>UPTICKER</t>
  </si>
  <si>
    <t>ipoyear</t>
  </si>
  <si>
    <t>ipodate</t>
  </si>
  <si>
    <t>ipodate_compustat</t>
  </si>
  <si>
    <t>sicp</t>
  </si>
  <si>
    <t>sic_compustat</t>
  </si>
  <si>
    <t>OFFERPRIC</t>
  </si>
  <si>
    <t>Exactis.com Inc</t>
  </si>
  <si>
    <t>No</t>
  </si>
  <si>
    <t>Tech Oriented; No Fintech Focus</t>
  </si>
  <si>
    <t>EXACTIS.COM INC</t>
  </si>
  <si>
    <t>0001092393</t>
  </si>
  <si>
    <t>30064G</t>
  </si>
  <si>
    <t>XACT</t>
  </si>
  <si>
    <t>1999-11-19</t>
  </si>
  <si>
    <t>Investar Holding Corp</t>
  </si>
  <si>
    <t>Traditional Bank</t>
  </si>
  <si>
    <t>INVESTAR HOLDING CORP</t>
  </si>
  <si>
    <t>0001602658</t>
  </si>
  <si>
    <t>46134L</t>
  </si>
  <si>
    <t>ISTR</t>
  </si>
  <si>
    <t>2014-07-01</t>
  </si>
  <si>
    <t>JD Edwards &amp; Co</t>
  </si>
  <si>
    <t>Enterprise software for business process management and ERP (Enterprise Resource Planning)</t>
  </si>
  <si>
    <t>EDWARDS J D &amp; CO</t>
  </si>
  <si>
    <t>281667</t>
  </si>
  <si>
    <t>JDEC</t>
  </si>
  <si>
    <t>1997-09-23</t>
  </si>
  <si>
    <t>Unison Software Inc</t>
  </si>
  <si>
    <t>Computer software development and related services for the federal government</t>
  </si>
  <si>
    <t>UNISON SOFTWARE INC</t>
  </si>
  <si>
    <t>0000945837,0001033840,0001009385</t>
  </si>
  <si>
    <t>90919P</t>
  </si>
  <si>
    <t>UNSN</t>
  </si>
  <si>
    <t>UNSN.</t>
  </si>
  <si>
    <t>1995-07-20</t>
  </si>
  <si>
    <t>Team Financial Inc</t>
  </si>
  <si>
    <t>small, local commercial bank based in Kansas, later delisted in 2014</t>
  </si>
  <si>
    <t>TEAM FINANCIAL INC</t>
  </si>
  <si>
    <t>0001082484</t>
  </si>
  <si>
    <t>87815X</t>
  </si>
  <si>
    <t>TFIN</t>
  </si>
  <si>
    <t>TFINQ</t>
  </si>
  <si>
    <t>1999-06-22</t>
  </si>
  <si>
    <t>Omega Orthodontics Inc</t>
  </si>
  <si>
    <t>Company has disolved and has been delinquent in their SEC Fillings</t>
  </si>
  <si>
    <t>OMEGA ORTHODONTICS INC</t>
  </si>
  <si>
    <t>0001032628</t>
  </si>
  <si>
    <t>681973</t>
  </si>
  <si>
    <t>ORTH</t>
  </si>
  <si>
    <t>3ORTH</t>
  </si>
  <si>
    <t>1997-10-01</t>
  </si>
  <si>
    <t>RWD Tech Inc</t>
  </si>
  <si>
    <t>Technology and Consulting Company; restructured to Private in 2003</t>
  </si>
  <si>
    <t>RWD TECHNOLOGIES INC</t>
  </si>
  <si>
    <t>0001032373</t>
  </si>
  <si>
    <t>74975B</t>
  </si>
  <si>
    <t>RWDT</t>
  </si>
  <si>
    <t>1997-06-19</t>
  </si>
  <si>
    <t>Telos Corp</t>
  </si>
  <si>
    <t>Cybersecurity and IT risk management company</t>
  </si>
  <si>
    <t>TELOS CORP/MD</t>
  </si>
  <si>
    <t>0000320121</t>
  </si>
  <si>
    <t>87969B</t>
  </si>
  <si>
    <t>TLSRP</t>
  </si>
  <si>
    <t>TLS</t>
  </si>
  <si>
    <t>2020-11-19</t>
  </si>
  <si>
    <t>Ofs Credit Co Inc</t>
  </si>
  <si>
    <t>Closed-end management investment company that primarily focuses on investing in debt and structured credit securities, particularly collateralized loan obligations (CLOs)</t>
  </si>
  <si>
    <t>0001716951</t>
  </si>
  <si>
    <t>67111Q</t>
  </si>
  <si>
    <t>OCCI</t>
  </si>
  <si>
    <t>KMG America Corp</t>
  </si>
  <si>
    <t>Holding company primarily engaged in the life and health insurance business through its subsidiaries</t>
  </si>
  <si>
    <t>KMG AMERICA CORP</t>
  </si>
  <si>
    <t>0001299210</t>
  </si>
  <si>
    <t>482563</t>
  </si>
  <si>
    <t>KMA</t>
  </si>
  <si>
    <t>2004-12-16</t>
  </si>
  <si>
    <t>Shattuck Labs Inc</t>
  </si>
  <si>
    <t>Clinical-stage biotechnology company focused on developing novel dual-function immunotherapies for the treatment of cancer and autoimmune diseases.</t>
  </si>
  <si>
    <t>SHATTUCK LABS INC</t>
  </si>
  <si>
    <t>0001680367</t>
  </si>
  <si>
    <t>82024L</t>
  </si>
  <si>
    <t>STTK</t>
  </si>
  <si>
    <t>2020-10-09</t>
  </si>
  <si>
    <t>Translate Bio Inc</t>
  </si>
  <si>
    <t>clinical-stage messenger RNA (mRNA) therapeutics company</t>
  </si>
  <si>
    <t>TRANSLATE BIO INC</t>
  </si>
  <si>
    <t>0001693415</t>
  </si>
  <si>
    <t>89374L</t>
  </si>
  <si>
    <t>TBIO</t>
  </si>
  <si>
    <t>TBIO.2</t>
  </si>
  <si>
    <t>2018-06-28</t>
  </si>
  <si>
    <t>CareScience Inc</t>
  </si>
  <si>
    <t>healthcare information technology company that specialized in providing clinical decision support and data analytics solutions for hospitals and healthcare systems.</t>
  </si>
  <si>
    <t>CARESCIENCE INC</t>
  </si>
  <si>
    <t>0001108782</t>
  </si>
  <si>
    <t>141726</t>
  </si>
  <si>
    <t>CARE</t>
  </si>
  <si>
    <t>CARE.2</t>
  </si>
  <si>
    <t>2000-06-29</t>
  </si>
  <si>
    <t>PEC Solutions Inc</t>
  </si>
  <si>
    <t>technology services company that provided information technology and consulting services primarily to U.S. government agencies.</t>
  </si>
  <si>
    <t>PEC SOLUTIONS INC</t>
  </si>
  <si>
    <t>0001103013</t>
  </si>
  <si>
    <t>705107</t>
  </si>
  <si>
    <t>PECS</t>
  </si>
  <si>
    <t>2000-04-20</t>
  </si>
  <si>
    <t>Verint Systems Inc</t>
  </si>
  <si>
    <t xml:space="preserve">global provider of customer engagement solutions, specializing in cloud-based software and analytics </t>
  </si>
  <si>
    <t>VERINT SYSTEMS INC</t>
  </si>
  <si>
    <t>0001166388</t>
  </si>
  <si>
    <t>92343X</t>
  </si>
  <si>
    <t>VRNT</t>
  </si>
  <si>
    <t>CMVT</t>
  </si>
  <si>
    <t>2002-05-16</t>
  </si>
  <si>
    <t>MasterCard Inc</t>
  </si>
  <si>
    <t>Traditional Bank, only use fintech as a supporting role (like banking app)</t>
  </si>
  <si>
    <t>MASTERCARD INC</t>
  </si>
  <si>
    <t>0001141391,0001141391</t>
  </si>
  <si>
    <t>57636Q</t>
  </si>
  <si>
    <t>MA</t>
  </si>
  <si>
    <t>2006-05-25</t>
  </si>
  <si>
    <t>INSCI Corp</t>
  </si>
  <si>
    <t>software and technology company that specialized in enterprise content management (ECM) and document archiving solutions.</t>
  </si>
  <si>
    <t>0000878612</t>
  </si>
  <si>
    <t>45765T</t>
  </si>
  <si>
    <t>INSI</t>
  </si>
  <si>
    <t>IMTK</t>
  </si>
  <si>
    <t>Metacrine Inc</t>
  </si>
  <si>
    <t>clinical-stage biopharmaceutical company focused on developing differentiated therapies for gastrointestinal and liver diseases.</t>
  </si>
  <si>
    <t>METACRINE INC</t>
  </si>
  <si>
    <t>0001634379</t>
  </si>
  <si>
    <t>59101E</t>
  </si>
  <si>
    <t>MTCR</t>
  </si>
  <si>
    <t>2020-09-16</t>
  </si>
  <si>
    <t>Conning Corp</t>
  </si>
  <si>
    <t>global investment management firm that primarily serves the insurance industry</t>
  </si>
  <si>
    <t>CONNING CORP</t>
  </si>
  <si>
    <t>0000801051</t>
  </si>
  <si>
    <t>208215</t>
  </si>
  <si>
    <t>CNNG</t>
  </si>
  <si>
    <t>1997-12-16</t>
  </si>
  <si>
    <t>HireRight Inc</t>
  </si>
  <si>
    <t>provider of employment background screening and workforce solutions.</t>
  </si>
  <si>
    <t>HIRERIGHT INC</t>
  </si>
  <si>
    <t>0001168652</t>
  </si>
  <si>
    <t>433538</t>
  </si>
  <si>
    <t>HIRE</t>
  </si>
  <si>
    <t>2007-08-08</t>
  </si>
  <si>
    <t>Angie's List Inc</t>
  </si>
  <si>
    <t>consumer review and local services marketplace company</t>
  </si>
  <si>
    <t>0001491778</t>
  </si>
  <si>
    <t>034754</t>
  </si>
  <si>
    <t>ANGI</t>
  </si>
  <si>
    <t>Snyder Communications Inc</t>
  </si>
  <si>
    <t>marketing and communications services company</t>
  </si>
  <si>
    <t>SNYDER COMMUNICATIONS INC</t>
  </si>
  <si>
    <t>0001017906</t>
  </si>
  <si>
    <t>832914</t>
  </si>
  <si>
    <t>SNC</t>
  </si>
  <si>
    <t>SNC.3</t>
  </si>
  <si>
    <t>1996-09-24</t>
  </si>
  <si>
    <t>ComScore Inc</t>
  </si>
  <si>
    <t>global media measurement and analytics company that provides audience insights across digital, television, and movie platforms.</t>
  </si>
  <si>
    <t>COMSCORE INC</t>
  </si>
  <si>
    <t>0001158172</t>
  </si>
  <si>
    <t>20564W</t>
  </si>
  <si>
    <t>SCOR</t>
  </si>
  <si>
    <t>2007-06-27</t>
  </si>
  <si>
    <t>BroadVision Inc</t>
  </si>
  <si>
    <t>software company that developed and marketed enterprise-level e-business solutions.</t>
  </si>
  <si>
    <t>BROADVISION INC</t>
  </si>
  <si>
    <t>0000920448</t>
  </si>
  <si>
    <t>111412</t>
  </si>
  <si>
    <t>BVSN</t>
  </si>
  <si>
    <t>1996-06-21</t>
  </si>
  <si>
    <t>Olema Pharmaceuticals Inc</t>
  </si>
  <si>
    <t xml:space="preserve">clinical-stage biopharmaceutical company </t>
  </si>
  <si>
    <t>OLEMA PHARMACEUTICALS INC</t>
  </si>
  <si>
    <t>0001750284</t>
  </si>
  <si>
    <t>68062P</t>
  </si>
  <si>
    <t>OLMA</t>
  </si>
  <si>
    <t>Brocade Commun Sys Inc</t>
  </si>
  <si>
    <t xml:space="preserve">networking hardware and software company </t>
  </si>
  <si>
    <t>BROCADE COMMUNICATIONS SYS</t>
  </si>
  <si>
    <t>0001009626</t>
  </si>
  <si>
    <t>111621</t>
  </si>
  <si>
    <t>BRCD</t>
  </si>
  <si>
    <t>1999-05-25</t>
  </si>
  <si>
    <t>Smartflex Systems</t>
  </si>
  <si>
    <t>provider of electronic manufacturing services (EMS).</t>
  </si>
  <si>
    <t>SMARTFLEX SYSTEMS INC</t>
  </si>
  <si>
    <t>0000946677</t>
  </si>
  <si>
    <t>83169K</t>
  </si>
  <si>
    <t>SFLX</t>
  </si>
  <si>
    <t>ROG</t>
  </si>
  <si>
    <t>1995-07-31</t>
  </si>
  <si>
    <t>SPR Inc</t>
  </si>
  <si>
    <t>IT consulting and software development firm</t>
  </si>
  <si>
    <t>SPR INC</t>
  </si>
  <si>
    <t>0001645896,0001405906,0001474593,0002067073,0001757885,0001502743,0000890195,0001349184,0001765084,0002015943,0001371258,0001381035,0001245513,0002007131,0001333319,0001333319,0001333319,0001333318,0001294892,0001510156,0001409628,0001642123,0001466348,0001660873,0001639448,0001500843,0001471709,0001297369,0001657029,0001972873,0001972878,0002036411,0001490651,0002039680,0001631787,0001631760,0001790036,0001754070,0001026493,0001312946,0001272121,0001268443,0001274209,0001282616,0001586725,0001583156</t>
  </si>
  <si>
    <t>784922</t>
  </si>
  <si>
    <t>SPRI</t>
  </si>
  <si>
    <t>SPRI.</t>
  </si>
  <si>
    <t>1997-10-02</t>
  </si>
  <si>
    <t>N2H2 Inc</t>
  </si>
  <si>
    <t>provider of internet filtering and content management solutions</t>
  </si>
  <si>
    <t>N2H2 INC</t>
  </si>
  <si>
    <t>0001077301,0001988102</t>
  </si>
  <si>
    <t>67019F</t>
  </si>
  <si>
    <t>NTWO</t>
  </si>
  <si>
    <t>3NTWO</t>
  </si>
  <si>
    <t>1999-07-29</t>
  </si>
  <si>
    <t>CoSine Communications Inc</t>
  </si>
  <si>
    <t xml:space="preserve">networking technology company </t>
  </si>
  <si>
    <t>0001060824</t>
  </si>
  <si>
    <t>221222</t>
  </si>
  <si>
    <t>COSN</t>
  </si>
  <si>
    <t>Boron LePore &amp; Associates Inc</t>
  </si>
  <si>
    <t>healthcare marketing and communications company</t>
  </si>
  <si>
    <t>BORON LEPORE &amp; ASSOCS</t>
  </si>
  <si>
    <t>0001029281</t>
  </si>
  <si>
    <t>10001P</t>
  </si>
  <si>
    <t>BLPG</t>
  </si>
  <si>
    <t>BLPG.</t>
  </si>
  <si>
    <t>1997-09-24</t>
  </si>
  <si>
    <t>Information Management Assocs</t>
  </si>
  <si>
    <t>Information Management Associates Inc (IMA) was a customer relationship management (CRM) software company.</t>
  </si>
  <si>
    <t>INFORMATION MGMT ASSOC INC</t>
  </si>
  <si>
    <t>0000871696</t>
  </si>
  <si>
    <t>456923</t>
  </si>
  <si>
    <t>IMAA</t>
  </si>
  <si>
    <t>IMAAZ</t>
  </si>
  <si>
    <t>1997-07-30</t>
  </si>
  <si>
    <t>Sagent Technology Inc</t>
  </si>
  <si>
    <t>Data integration and business intelligence software company.</t>
  </si>
  <si>
    <t>SAGENT TECHNOLOGY INC</t>
  </si>
  <si>
    <t>0001058425</t>
  </si>
  <si>
    <t>786693</t>
  </si>
  <si>
    <t>SGNT</t>
  </si>
  <si>
    <t>SGNT.1</t>
  </si>
  <si>
    <t>1999-04-14</t>
  </si>
  <si>
    <t>Sabre Group Holdings(AMR Corp)</t>
  </si>
  <si>
    <t>a travel technology and services company</t>
  </si>
  <si>
    <t>SABRE HOLDINGS CORP  -CL A</t>
  </si>
  <si>
    <t>0001020265</t>
  </si>
  <si>
    <t>785905</t>
  </si>
  <si>
    <t>TSG</t>
  </si>
  <si>
    <t>TSG.2</t>
  </si>
  <si>
    <t>AMR</t>
  </si>
  <si>
    <t>1996-10-11</t>
  </si>
  <si>
    <t>Capital One Finl Corp</t>
  </si>
  <si>
    <t>diversified financial services company; more like traditional banks</t>
  </si>
  <si>
    <t>CAPITAL ONE FINANCIAL CORP</t>
  </si>
  <si>
    <t>0000927628</t>
  </si>
  <si>
    <t>14040H</t>
  </si>
  <si>
    <t>COF</t>
  </si>
  <si>
    <t>SBK</t>
  </si>
  <si>
    <t>1994-11-15</t>
  </si>
  <si>
    <t>Universal Outdoor Holdings Inc</t>
  </si>
  <si>
    <t>provider of outdoor advertising services</t>
  </si>
  <si>
    <t>UNIVERSAL OUTDOOR HLDGS INC</t>
  </si>
  <si>
    <t>0000928063</t>
  </si>
  <si>
    <t>91377M</t>
  </si>
  <si>
    <t>UOUT</t>
  </si>
  <si>
    <t>1996-07-23</t>
  </si>
  <si>
    <t>GLB Bancorp Inc,Mentor,OH</t>
  </si>
  <si>
    <t>bank holding company</t>
  </si>
  <si>
    <t>GLB BANCORP INC</t>
  </si>
  <si>
    <t>0001054538</t>
  </si>
  <si>
    <t>361778</t>
  </si>
  <si>
    <t>GLBK</t>
  </si>
  <si>
    <t>1998-05-19</t>
  </si>
  <si>
    <t>ICT Group Inc</t>
  </si>
  <si>
    <t>global provider of customer management and business process outsourcing (BPO) services</t>
  </si>
  <si>
    <t>ICT GROUP INC</t>
  </si>
  <si>
    <t>0001013149</t>
  </si>
  <si>
    <t>44929Y</t>
  </si>
  <si>
    <t>ICTG</t>
  </si>
  <si>
    <t>ICTG.1</t>
  </si>
  <si>
    <t>1996-06-14</t>
  </si>
  <si>
    <t>SCB Computer Technology Inc</t>
  </si>
  <si>
    <t>IT services and consulting firm</t>
  </si>
  <si>
    <t>SCB COMPUTER TECHNOLOGY INC</t>
  </si>
  <si>
    <t>0001005268</t>
  </si>
  <si>
    <t>78388N</t>
  </si>
  <si>
    <t>SCBI</t>
  </si>
  <si>
    <t>3SCBI</t>
  </si>
  <si>
    <t>1996-02-14</t>
  </si>
  <si>
    <t>FriendFinder Networks Inc</t>
  </si>
  <si>
    <t xml:space="preserve"> internet-based social networking and online dating services company</t>
  </si>
  <si>
    <t>FRIENDFINDER NETWORKS INC</t>
  </si>
  <si>
    <t>0001451951</t>
  </si>
  <si>
    <t>358453</t>
  </si>
  <si>
    <t>FFN</t>
  </si>
  <si>
    <t>FFNTQ</t>
  </si>
  <si>
    <t>2011-05-11</t>
  </si>
  <si>
    <t>Best Software Inc</t>
  </si>
  <si>
    <t>provider of business management software solutions</t>
  </si>
  <si>
    <t>0001043431</t>
  </si>
  <si>
    <t>086579</t>
  </si>
  <si>
    <t>BEST</t>
  </si>
  <si>
    <t>RetailMeNot Inc</t>
  </si>
  <si>
    <t>digital coupon and savings platform</t>
  </si>
  <si>
    <t>RETAILMENOT INC</t>
  </si>
  <si>
    <t>0001475274</t>
  </si>
  <si>
    <t>76132B</t>
  </si>
  <si>
    <t>SALE</t>
  </si>
  <si>
    <t>SALE.</t>
  </si>
  <si>
    <t>2013-07-19</t>
  </si>
  <si>
    <t>Applied Graphics Tech Inc</t>
  </si>
  <si>
    <t>provider of digital prepress and graphic communications services.</t>
  </si>
  <si>
    <t>0001006030</t>
  </si>
  <si>
    <t>037937</t>
  </si>
  <si>
    <t>AGTX</t>
  </si>
  <si>
    <t>CFI Mortgage Inc</t>
  </si>
  <si>
    <t>residential mortgage banking company</t>
  </si>
  <si>
    <t>CFI MORTGAGE INC</t>
  </si>
  <si>
    <t>0001036071</t>
  </si>
  <si>
    <t>12526J</t>
  </si>
  <si>
    <t>CFIM</t>
  </si>
  <si>
    <t>Waypoint Financial Corp,PA</t>
  </si>
  <si>
    <t>WAYPOINT FINANCIAL CORP</t>
  </si>
  <si>
    <t>0001034650</t>
  </si>
  <si>
    <t>946756</t>
  </si>
  <si>
    <t>WYPT</t>
  </si>
  <si>
    <t>Bazaarvoice Inc</t>
  </si>
  <si>
    <t>software-as-a-service (SaaS) company that provides user-generated content (UGC) solutions for brands and retailers.</t>
  </si>
  <si>
    <t>0001330421</t>
  </si>
  <si>
    <t>073271</t>
  </si>
  <si>
    <t>Sterigenics International Inc</t>
  </si>
  <si>
    <t>provider of sterilization services for the medical device, pharmaceutical, and food industries.</t>
  </si>
  <si>
    <t>STERIGENICS INTL INC</t>
  </si>
  <si>
    <t>0001009988</t>
  </si>
  <si>
    <t>85915R</t>
  </si>
  <si>
    <t>STER</t>
  </si>
  <si>
    <t>STER.2</t>
  </si>
  <si>
    <t>1997-08-14</t>
  </si>
  <si>
    <t>Black Knight Financial Svcs</t>
  </si>
  <si>
    <t>provider of integrated software, data, and analytics for the mortgage and real estate industries.</t>
  </si>
  <si>
    <t>0001627014</t>
  </si>
  <si>
    <t>09214X</t>
  </si>
  <si>
    <t>BKFS</t>
  </si>
  <si>
    <t>FNF</t>
  </si>
  <si>
    <t>Exult Inc</t>
  </si>
  <si>
    <t>provider of human resources outsourcing (HRO) services.</t>
  </si>
  <si>
    <t>EXULT INC</t>
  </si>
  <si>
    <t>0001108341</t>
  </si>
  <si>
    <t>302284</t>
  </si>
  <si>
    <t>EXLT</t>
  </si>
  <si>
    <t>2000-06-02</t>
  </si>
  <si>
    <t>Brilliant Digital Ent Inc</t>
  </si>
  <si>
    <t>digital media and technology company</t>
  </si>
  <si>
    <t>0001022844</t>
  </si>
  <si>
    <t>109502</t>
  </si>
  <si>
    <t>BDE</t>
  </si>
  <si>
    <t>Reneo Pharmaceuticals Inc</t>
  </si>
  <si>
    <t>clinical-stage pharmaceutical company focused on rare genetic mitochondrial diseases</t>
  </si>
  <si>
    <t>0001637715</t>
  </si>
  <si>
    <t>75974E</t>
  </si>
  <si>
    <t>RPHM</t>
  </si>
  <si>
    <t>Patriot National Inc</t>
  </si>
  <si>
    <t>provider of technology-enabled outsourcing solutions to the workers’ compensation insurance industry.</t>
  </si>
  <si>
    <t>PATRIOT NATIONAL INC</t>
  </si>
  <si>
    <t>0001619917</t>
  </si>
  <si>
    <t>70338T</t>
  </si>
  <si>
    <t>PN</t>
  </si>
  <si>
    <t>PNTPQ</t>
  </si>
  <si>
    <t>2015-01-16</t>
  </si>
  <si>
    <t>Yesmail.com Inc</t>
  </si>
  <si>
    <t>email marketing and digital communications company.</t>
  </si>
  <si>
    <t>YESMAIL.COM INC</t>
  </si>
  <si>
    <t>0001087943</t>
  </si>
  <si>
    <t>98583Q</t>
  </si>
  <si>
    <t>YESM</t>
  </si>
  <si>
    <t>1999-09-23</t>
  </si>
  <si>
    <t>En Pointe Technologies Inc</t>
  </si>
  <si>
    <t>IT products and services provider</t>
  </si>
  <si>
    <t>EN POINTE TECHNOLOGIES INC</t>
  </si>
  <si>
    <t>0001010305</t>
  </si>
  <si>
    <t>29247F</t>
  </si>
  <si>
    <t>ENPT</t>
  </si>
  <si>
    <t>ENPT.</t>
  </si>
  <si>
    <t>1996-05-08</t>
  </si>
  <si>
    <t>Kronos Bio Inc</t>
  </si>
  <si>
    <t>KRONOS BIO INC</t>
  </si>
  <si>
    <t>0001741830</t>
  </si>
  <si>
    <t>50107A</t>
  </si>
  <si>
    <t>KRON</t>
  </si>
  <si>
    <t>Technology Modeling Assoc Inc</t>
  </si>
  <si>
    <t>provider of semiconductor process simulation software.</t>
  </si>
  <si>
    <t>TECHNOLOGY MODELING ASSOC</t>
  </si>
  <si>
    <t>0001018728</t>
  </si>
  <si>
    <t>87872R</t>
  </si>
  <si>
    <t>TMAI</t>
  </si>
  <si>
    <t>1996-09-20</t>
  </si>
  <si>
    <t>CNB Florida Bancshares Inc,FL</t>
  </si>
  <si>
    <t>CNB FLORIDA BANCSHARES INC</t>
  </si>
  <si>
    <t>0000852618</t>
  </si>
  <si>
    <t>12612H</t>
  </si>
  <si>
    <t>CNBB</t>
  </si>
  <si>
    <t>CNBB.</t>
  </si>
  <si>
    <t>GE</t>
  </si>
  <si>
    <t>1998-04-06</t>
  </si>
  <si>
    <t>PMI Group Inc</t>
  </si>
  <si>
    <t>provider of mortgage insurance and financial guaranty products</t>
  </si>
  <si>
    <t>PMI GROUP INC</t>
  </si>
  <si>
    <t>0000935724</t>
  </si>
  <si>
    <t>69344M</t>
  </si>
  <si>
    <t>PMA</t>
  </si>
  <si>
    <t>PPMIQ</t>
  </si>
  <si>
    <t>KM</t>
  </si>
  <si>
    <t>1995-04-10</t>
  </si>
  <si>
    <t>Omni Financial Services Inc</t>
  </si>
  <si>
    <t>OMNI FINANCIAL SERVICES</t>
  </si>
  <si>
    <t>0001362599</t>
  </si>
  <si>
    <t>68214U</t>
  </si>
  <si>
    <t>OFSI</t>
  </si>
  <si>
    <t>2006-09-29</t>
  </si>
  <si>
    <t>Movano Inc</t>
  </si>
  <si>
    <t>health-focused technology company</t>
  </si>
  <si>
    <t>0001734750</t>
  </si>
  <si>
    <t>62459M</t>
  </si>
  <si>
    <t>MOVE</t>
  </si>
  <si>
    <t>Rental Service Corp</t>
  </si>
  <si>
    <t>construction and industrial equipment rental company</t>
  </si>
  <si>
    <t>RENTAL SERVICE CORP</t>
  </si>
  <si>
    <t>0001016572</t>
  </si>
  <si>
    <t>76009V</t>
  </si>
  <si>
    <t>RSVC</t>
  </si>
  <si>
    <t>RSV.1</t>
  </si>
  <si>
    <t>1996-09-18</t>
  </si>
  <si>
    <t>Quintiles Transnational Corp</t>
  </si>
  <si>
    <t>global provider of biopharmaceutical development and commercial outsourcing services.</t>
  </si>
  <si>
    <t>0000919623</t>
  </si>
  <si>
    <t>748767</t>
  </si>
  <si>
    <t>QTRN</t>
  </si>
  <si>
    <t>Physician Support Systems Inc</t>
  </si>
  <si>
    <t>healthcare services company</t>
  </si>
  <si>
    <t>PHYSICIAN SUPPORT SYS INC</t>
  </si>
  <si>
    <t>0000878760</t>
  </si>
  <si>
    <t>71940V</t>
  </si>
  <si>
    <t>PHSS</t>
  </si>
  <si>
    <t>1996-02-12</t>
  </si>
  <si>
    <t>Sunquest Information Systems</t>
  </si>
  <si>
    <t xml:space="preserve">provider of clinical laboratory information systems </t>
  </si>
  <si>
    <t>SUNQUEST INFORMATION SYS INC</t>
  </si>
  <si>
    <t>0001011340</t>
  </si>
  <si>
    <t>867654</t>
  </si>
  <si>
    <t>SUNQ</t>
  </si>
  <si>
    <t>1996-05-31</t>
  </si>
  <si>
    <t>Demandware Inc</t>
  </si>
  <si>
    <t>cloud-based e-commerce platform provider</t>
  </si>
  <si>
    <t>DEMANDWARE INC</t>
  </si>
  <si>
    <t>0001301031</t>
  </si>
  <si>
    <t>24802Y</t>
  </si>
  <si>
    <t>DWRE</t>
  </si>
  <si>
    <t>2012-03-15</t>
  </si>
  <si>
    <t>Niku Corp</t>
  </si>
  <si>
    <t>provider of enterprise project and portfolio management software</t>
  </si>
  <si>
    <t>NIKU CORP</t>
  </si>
  <si>
    <t>0001076641</t>
  </si>
  <si>
    <t>654113</t>
  </si>
  <si>
    <t>NIKU</t>
  </si>
  <si>
    <t>2000-02-29</t>
  </si>
  <si>
    <t>Data Systems Network Corp</t>
  </si>
  <si>
    <t>IT services and systems integration company</t>
  </si>
  <si>
    <t>DATA SYSTEMS NETWORK CORP</t>
  </si>
  <si>
    <t>0000926849</t>
  </si>
  <si>
    <t>237891</t>
  </si>
  <si>
    <t>DSY</t>
  </si>
  <si>
    <t>3DSYS</t>
  </si>
  <si>
    <t>1994-10-28</t>
  </si>
  <si>
    <t>Western National Corp</t>
  </si>
  <si>
    <t>regional insurance holding company</t>
  </si>
  <si>
    <t>WESTERN NATIONAL CORP</t>
  </si>
  <si>
    <t>0000913202</t>
  </si>
  <si>
    <t>958845</t>
  </si>
  <si>
    <t>WNH</t>
  </si>
  <si>
    <t>CNO</t>
  </si>
  <si>
    <t>1994-02-08</t>
  </si>
  <si>
    <t>Alloy Online Inc</t>
  </si>
  <si>
    <t>media and marketing company</t>
  </si>
  <si>
    <t>0001080359</t>
  </si>
  <si>
    <t>019855</t>
  </si>
  <si>
    <t>ALOY</t>
  </si>
  <si>
    <t>Vincam Group Inc</t>
  </si>
  <si>
    <t>professional employer organization (PEO)</t>
  </si>
  <si>
    <t>VINCAM GROUP INC</t>
  </si>
  <si>
    <t>0001008896</t>
  </si>
  <si>
    <t>92719B</t>
  </si>
  <si>
    <t>VCAM</t>
  </si>
  <si>
    <t>1996-05-09</t>
  </si>
  <si>
    <t>Finch Therapeutics Group Inc</t>
  </si>
  <si>
    <t>clinical-stage biotechnology company</t>
  </si>
  <si>
    <t>FINCH THERA GRP INC</t>
  </si>
  <si>
    <t>0001733257</t>
  </si>
  <si>
    <t>31773D</t>
  </si>
  <si>
    <t>FNCH</t>
  </si>
  <si>
    <t>2021-03-19</t>
  </si>
  <si>
    <t>Loop Media Inc</t>
  </si>
  <si>
    <t>digital media company</t>
  </si>
  <si>
    <t>LOOP MEDIA INC</t>
  </si>
  <si>
    <t>0001643988</t>
  </si>
  <si>
    <t>54352F</t>
  </si>
  <si>
    <t>ITRK</t>
  </si>
  <si>
    <t>LPTV</t>
  </si>
  <si>
    <t>Professional Holding Corp</t>
  </si>
  <si>
    <t>PROFESSIONAL HOLDING CORP</t>
  </si>
  <si>
    <t>0001630856</t>
  </si>
  <si>
    <t>743139</t>
  </si>
  <si>
    <t>PFHD</t>
  </si>
  <si>
    <t>Qualix Group Inc</t>
  </si>
  <si>
    <t>software company specializing in system availability solutions</t>
  </si>
  <si>
    <t>QUALIX GROUP INC</t>
  </si>
  <si>
    <t>0000870345</t>
  </si>
  <si>
    <t>747586</t>
  </si>
  <si>
    <t>QLIX</t>
  </si>
  <si>
    <t>FTSW</t>
  </si>
  <si>
    <t>1997-02-12</t>
  </si>
  <si>
    <t>Fidelity &amp; Guaranty Life</t>
  </si>
  <si>
    <t>life insurance and annuity provider</t>
  </si>
  <si>
    <t>FIDELITY &amp; GUARANTY LIFE</t>
  </si>
  <si>
    <t>0001585064,0001965862,0001965861,0000854241,0001375839</t>
  </si>
  <si>
    <t>315785</t>
  </si>
  <si>
    <t>FGL</t>
  </si>
  <si>
    <t>FGL.3</t>
  </si>
  <si>
    <t>TenFold Corp</t>
  </si>
  <si>
    <t>software development company</t>
  </si>
  <si>
    <t>TENFOLD CORP</t>
  </si>
  <si>
    <t>0001051118</t>
  </si>
  <si>
    <t>88033A</t>
  </si>
  <si>
    <t>TENF</t>
  </si>
  <si>
    <t>1999-05-21</t>
  </si>
  <si>
    <t>West Corp</t>
  </si>
  <si>
    <t>provider of communication and network infrastructure services</t>
  </si>
  <si>
    <t>0000764106,0001680877,0000036377,0000875706,0001272204,0000017313,0000018540,0000831378,0001057129,0001287798,0002004452,0000352912,0000075491,0001128777,0001035146,0001423759,0001514017,0001824415,0001351342,0000072971,0000075491,0000068622,0001463763,0001059151,0000895650,0000924677,0001024657,0000813461</t>
  </si>
  <si>
    <t>952355</t>
  </si>
  <si>
    <t>WSTC</t>
  </si>
  <si>
    <t>CapitalSource Inc</t>
  </si>
  <si>
    <t>commercial lending and financial services company</t>
  </si>
  <si>
    <t>CAPITALSOURCE INC</t>
  </si>
  <si>
    <t>0001241199,0001397543</t>
  </si>
  <si>
    <t>14055X</t>
  </si>
  <si>
    <t>CSE</t>
  </si>
  <si>
    <t>Allaire Corp</t>
  </si>
  <si>
    <t>software company known for its web development tools</t>
  </si>
  <si>
    <t>0001016139</t>
  </si>
  <si>
    <t>016714</t>
  </si>
  <si>
    <t>ALLR</t>
  </si>
  <si>
    <t>Switchboard Inc</t>
  </si>
  <si>
    <t>online directory and local advertising solutions provider</t>
  </si>
  <si>
    <t>SWITCHBOARD INC</t>
  </si>
  <si>
    <t>0001085223</t>
  </si>
  <si>
    <t>871045</t>
  </si>
  <si>
    <t>SWBD</t>
  </si>
  <si>
    <t>BNYN</t>
  </si>
  <si>
    <t>2000-03-02</t>
  </si>
  <si>
    <t>Mainspring Inc</t>
  </si>
  <si>
    <t>business consulting and internet strategy firm</t>
  </si>
  <si>
    <t>MAINSPRING INC</t>
  </si>
  <si>
    <t>0001017174</t>
  </si>
  <si>
    <t>56062U</t>
  </si>
  <si>
    <t>MSPR</t>
  </si>
  <si>
    <t>MSPR.</t>
  </si>
  <si>
    <t>2000-07-27</t>
  </si>
  <si>
    <t>Finwise Bancorp</t>
  </si>
  <si>
    <t xml:space="preserve">bank holding company </t>
  </si>
  <si>
    <t>FINWISE BANCORP</t>
  </si>
  <si>
    <t>0001856365</t>
  </si>
  <si>
    <t>31813A</t>
  </si>
  <si>
    <t>FINW</t>
  </si>
  <si>
    <t>2021-11-19</t>
  </si>
  <si>
    <t>ArcSight Inc</t>
  </si>
  <si>
    <t>cybersecurity and enterprise security management company</t>
  </si>
  <si>
    <t>0001172913,0001368582</t>
  </si>
  <si>
    <t>039666</t>
  </si>
  <si>
    <t>ARST</t>
  </si>
  <si>
    <t>Able Energy Inc</t>
  </si>
  <si>
    <t>energy services company</t>
  </si>
  <si>
    <t>0001065728,0001822573,0001358110,0001083146,0001301332,0001309402,0001309402,0001443997,0001747205,0001505742,0001516330,0001448658,0001388686</t>
  </si>
  <si>
    <t>003709</t>
  </si>
  <si>
    <t>ABLE</t>
  </si>
  <si>
    <t>Aruba Networks Inc</t>
  </si>
  <si>
    <t>a provider of enterprise networking solutions</t>
  </si>
  <si>
    <t>0001173752,0001173752</t>
  </si>
  <si>
    <t>043176</t>
  </si>
  <si>
    <t>ARUN</t>
  </si>
  <si>
    <t>Oncorus Inc</t>
  </si>
  <si>
    <t>preclinical-stage biopharmaceutical company</t>
  </si>
  <si>
    <t>ONCORUS INC</t>
  </si>
  <si>
    <t>0001671818</t>
  </si>
  <si>
    <t>68236R</t>
  </si>
  <si>
    <t>ONCR</t>
  </si>
  <si>
    <t>2020-10-02</t>
  </si>
  <si>
    <t>Summit Holding Southeast Inc</t>
  </si>
  <si>
    <t>workers’ compensation insurance provider</t>
  </si>
  <si>
    <t>SUMMIT HLDG SOUTHEAST INC</t>
  </si>
  <si>
    <t>0001027287</t>
  </si>
  <si>
    <t>866078</t>
  </si>
  <si>
    <t>SHSE</t>
  </si>
  <si>
    <t>1997-05-22</t>
  </si>
  <si>
    <t>eGain Communications Corp</t>
  </si>
  <si>
    <t>provider of customer engagement software</t>
  </si>
  <si>
    <t>EGAIN CORP</t>
  </si>
  <si>
    <t>0001066194</t>
  </si>
  <si>
    <t>28225C</t>
  </si>
  <si>
    <t>EGAN</t>
  </si>
  <si>
    <t>EverCommerce Inc</t>
  </si>
  <si>
    <t>service commerce platform company</t>
  </si>
  <si>
    <t>EVERCOMMERCE INC</t>
  </si>
  <si>
    <t>0001853145</t>
  </si>
  <si>
    <t>29977X</t>
  </si>
  <si>
    <t>EVCM</t>
  </si>
  <si>
    <t>2021-07-01</t>
  </si>
  <si>
    <t>Willis Lease Finance Corp</t>
  </si>
  <si>
    <t>commercial aviation leasing and services company</t>
  </si>
  <si>
    <t>WILLIS LEASE FINANCE CORP</t>
  </si>
  <si>
    <t>0001018164</t>
  </si>
  <si>
    <t>970646</t>
  </si>
  <si>
    <t>WLFC</t>
  </si>
  <si>
    <t>State Natl Bancshares Inc,TX</t>
  </si>
  <si>
    <t>regional bank holding company</t>
  </si>
  <si>
    <t>STATE NATIONAL BANCSHARS INC</t>
  </si>
  <si>
    <t>0001081894</t>
  </si>
  <si>
    <t>857124</t>
  </si>
  <si>
    <t>SNBI</t>
  </si>
  <si>
    <t>Clarent Corp</t>
  </si>
  <si>
    <t>telecommunications equipment company</t>
  </si>
  <si>
    <t>CLARENT CORP</t>
  </si>
  <si>
    <t>0001068292,0001068292</t>
  </si>
  <si>
    <t>180461</t>
  </si>
  <si>
    <t>CLRN</t>
  </si>
  <si>
    <t>1999-07-01</t>
  </si>
  <si>
    <t>KAYAK Software Corp</t>
  </si>
  <si>
    <t>travel search engine and technology company.</t>
  </si>
  <si>
    <t>KAYAK SOFTWARE CORP</t>
  </si>
  <si>
    <t>0001312928,0001312928,0001312928</t>
  </si>
  <si>
    <t>486577</t>
  </si>
  <si>
    <t>KYAK</t>
  </si>
  <si>
    <t>2012-07-20</t>
  </si>
  <si>
    <t>Central Finl Acceptance Corp</t>
  </si>
  <si>
    <t>financial services company</t>
  </si>
  <si>
    <t>CENTRAL FINANCIAL ACCEP CORP</t>
  </si>
  <si>
    <t>0001012483</t>
  </si>
  <si>
    <t>153470</t>
  </si>
  <si>
    <t>CFAC</t>
  </si>
  <si>
    <t>3CFAC</t>
  </si>
  <si>
    <t>1996-06-26</t>
  </si>
  <si>
    <t>Softworks Inc</t>
  </si>
  <si>
    <t>software company specializing in systems management</t>
  </si>
  <si>
    <t>SOFTWORKS INC</t>
  </si>
  <si>
    <t>0001294227,0001082324,0001062621</t>
  </si>
  <si>
    <t>83404P</t>
  </si>
  <si>
    <t>SWRX</t>
  </si>
  <si>
    <t>AARX</t>
  </si>
  <si>
    <t>1998-07-31</t>
  </si>
  <si>
    <t>Ocwen Financial Corp</t>
  </si>
  <si>
    <t>financial services holding company</t>
  </si>
  <si>
    <t>ONITY GROUP INC</t>
  </si>
  <si>
    <t>0000873860,0000873860</t>
  </si>
  <si>
    <t>675746</t>
  </si>
  <si>
    <t>OCN</t>
  </si>
  <si>
    <t>ONIT</t>
  </si>
  <si>
    <t>1996-09-25</t>
  </si>
  <si>
    <t>FCB Financial Holdings Inc</t>
  </si>
  <si>
    <t>FCB FINANCIAL HOLDINGS INC</t>
  </si>
  <si>
    <t>0001476651</t>
  </si>
  <si>
    <t>30255G</t>
  </si>
  <si>
    <t>FCB</t>
  </si>
  <si>
    <t>2014-08-01</t>
  </si>
  <si>
    <t>Dynatrace Inc</t>
  </si>
  <si>
    <t>software intelligence company</t>
  </si>
  <si>
    <t>DYNATRACE INC</t>
  </si>
  <si>
    <t>0001773383</t>
  </si>
  <si>
    <t>268150</t>
  </si>
  <si>
    <t>DT</t>
  </si>
  <si>
    <t>2019-08-01</t>
  </si>
  <si>
    <t>Plumtree Software Inc</t>
  </si>
  <si>
    <t>enterprise software company</t>
  </si>
  <si>
    <t>PLUMTREE SOFTWARE INC</t>
  </si>
  <si>
    <t>0001035656</t>
  </si>
  <si>
    <t>72940Q</t>
  </si>
  <si>
    <t>PLUM</t>
  </si>
  <si>
    <t>2002-06-04</t>
  </si>
  <si>
    <t>PhaseRx Inc</t>
  </si>
  <si>
    <t>biotechnology company focused on mRNA-based therapeutics</t>
  </si>
  <si>
    <t>PHASERX INC</t>
  </si>
  <si>
    <t>0001429386</t>
  </si>
  <si>
    <t>71723F</t>
  </si>
  <si>
    <t>PZRX</t>
  </si>
  <si>
    <t>PZRXQ</t>
  </si>
  <si>
    <t>2016-05-18</t>
  </si>
  <si>
    <t>FlexiInternational Software</t>
  </si>
  <si>
    <t>total design and RIP solution for wide-format printing</t>
  </si>
  <si>
    <t>FLEXIINTERNATIONAL SOFTWARE</t>
  </si>
  <si>
    <t>0001015464</t>
  </si>
  <si>
    <t>338923</t>
  </si>
  <si>
    <t>FLXI</t>
  </si>
  <si>
    <t>1997-12-12</t>
  </si>
  <si>
    <t>SignalSoft Corp</t>
  </si>
  <si>
    <t>location-based services for telecommunications</t>
  </si>
  <si>
    <t>SIGNALSOFT CORP</t>
  </si>
  <si>
    <t>0001103354</t>
  </si>
  <si>
    <t>82668M</t>
  </si>
  <si>
    <t>SGSF</t>
  </si>
  <si>
    <t>2000-08-03</t>
  </si>
  <si>
    <t>TRX Inc</t>
  </si>
  <si>
    <t>travel technology company that provided transaction processing and data integration services for travel agencies and corporations</t>
  </si>
  <si>
    <t>TRX INC</t>
  </si>
  <si>
    <t>0001704274,0001191630,0001364811,0001185670,0002042978,0000949925,0001139657,0001705411,0001126101,0001265606,0001506306,0001975848,0001521648,0001870700,0001674439,0001879397,0001985418,0001362703,0001361245,0001133830,0001133830,0000924515,0001370562,0001515619,0001104153,0001165871,0001103025</t>
  </si>
  <si>
    <t>898452</t>
  </si>
  <si>
    <t>TRXI</t>
  </si>
  <si>
    <t>Vera Therapeutics Inc</t>
  </si>
  <si>
    <t>a clinical-stage biotechnology company focused on immunological diseases</t>
  </si>
  <si>
    <t>VERA THERAPEUTICS INC</t>
  </si>
  <si>
    <t>0001831828</t>
  </si>
  <si>
    <t>92337R</t>
  </si>
  <si>
    <t>VERA</t>
  </si>
  <si>
    <t>2021-05-14</t>
  </si>
  <si>
    <t>Intraware Inc</t>
  </si>
  <si>
    <t>software distributor that provided digital delivery and license management solutions for enterprise software</t>
  </si>
  <si>
    <t>INTRAWARE INC</t>
  </si>
  <si>
    <t>0001025134</t>
  </si>
  <si>
    <t>46118M</t>
  </si>
  <si>
    <t>ITRA</t>
  </si>
  <si>
    <t>1999-02-26</t>
  </si>
  <si>
    <t>PMT Services Inc</t>
  </si>
  <si>
    <r>
      <rPr>
        <rFont val="Calibri"/>
        <color theme="1"/>
        <sz val="11.0"/>
      </rPr>
      <t xml:space="preserve">provider of payment processing services for merchants; </t>
    </r>
    <r>
      <rPr>
        <rFont val="Calibri"/>
        <b/>
        <color rgb="FF980000"/>
        <sz val="11.0"/>
      </rPr>
      <t>Historically fintech-related, but no longer independently operating or innovating in fintech.</t>
    </r>
  </si>
  <si>
    <t>PMT SERVICES INC</t>
  </si>
  <si>
    <t>0000923410</t>
  </si>
  <si>
    <t>693457</t>
  </si>
  <si>
    <t>PMTS</t>
  </si>
  <si>
    <t>PMTS.1</t>
  </si>
  <si>
    <t>Alliance Data Systems Corp</t>
  </si>
  <si>
    <t>Yes</t>
  </si>
  <si>
    <t>provides digital payments, credit solutions, and buy now, pay later services; digital payment</t>
  </si>
  <si>
    <t>0001101215</t>
  </si>
  <si>
    <t>018581</t>
  </si>
  <si>
    <t>ADS</t>
  </si>
  <si>
    <t>Precision Response Corp</t>
  </si>
  <si>
    <t>customer service outsourcing company</t>
  </si>
  <si>
    <t>PRECISION RESPONSE CORP</t>
  </si>
  <si>
    <t>0001013058</t>
  </si>
  <si>
    <t>740314</t>
  </si>
  <si>
    <t>PRRC</t>
  </si>
  <si>
    <t>1996-07-17</t>
  </si>
  <si>
    <t>EPAM Systems Inc</t>
  </si>
  <si>
    <t>Supporting Fintech</t>
  </si>
  <si>
    <r>
      <rPr>
        <rFont val="Calibri"/>
        <color theme="1"/>
        <sz val="11.0"/>
      </rPr>
      <t xml:space="preserve">global technology consulting firm that provides software engineering and digital transformation services; </t>
    </r>
    <r>
      <rPr>
        <rFont val="Calibri"/>
        <b/>
        <color theme="1"/>
        <sz val="11.0"/>
      </rPr>
      <t>Implementing blockchain solutions and building digital financial platforms</t>
    </r>
  </si>
  <si>
    <t>EPAM SYSTEMS INC</t>
  </si>
  <si>
    <t>0001352010,0001352010</t>
  </si>
  <si>
    <t>29414B</t>
  </si>
  <si>
    <t>EPAM</t>
  </si>
  <si>
    <t>2012-02-08</t>
  </si>
  <si>
    <t>Xpedior Inc</t>
  </si>
  <si>
    <t>consulting and systems integration firm focused on e-business solutions during the dot-com era</t>
  </si>
  <si>
    <t>XPEDIOR INC</t>
  </si>
  <si>
    <t>0001096287</t>
  </si>
  <si>
    <t>98413B</t>
  </si>
  <si>
    <t>XPDR</t>
  </si>
  <si>
    <t>MMWW</t>
  </si>
  <si>
    <t>1999-12-16</t>
  </si>
  <si>
    <t>Williams Scotsman Int Inc</t>
  </si>
  <si>
    <t>provides modular space and portable storage solutions</t>
  </si>
  <si>
    <t>WILLIAMS SCOTSMAN INTL</t>
  </si>
  <si>
    <t>0000923144</t>
  </si>
  <si>
    <t>96950G</t>
  </si>
  <si>
    <t>WLSC</t>
  </si>
  <si>
    <t>2005-09-20</t>
  </si>
  <si>
    <t>Focus Universal Inc</t>
  </si>
  <si>
    <t>technology company developing universal smart devices and sensor platforms</t>
  </si>
  <si>
    <t>0001590418</t>
  </si>
  <si>
    <t>34417J</t>
  </si>
  <si>
    <t>FCUV</t>
  </si>
  <si>
    <t>Symons International Group Inc</t>
  </si>
  <si>
    <t>insurance holding company</t>
  </si>
  <si>
    <t>SYMONS INTERNATIONAL GRP INC</t>
  </si>
  <si>
    <t>0001013698</t>
  </si>
  <si>
    <t>87154P</t>
  </si>
  <si>
    <t>SIGC</t>
  </si>
  <si>
    <t>GNC</t>
  </si>
  <si>
    <t>1996-11-05</t>
  </si>
  <si>
    <t>United Therapeutics Corp</t>
  </si>
  <si>
    <t>biotechnology company focused on rare diseases and organ manufacturing</t>
  </si>
  <si>
    <t>UNITED THERAPEUTICS CORP</t>
  </si>
  <si>
    <t>0001082554,0001082554</t>
  </si>
  <si>
    <t>91307C</t>
  </si>
  <si>
    <t>UTHR</t>
  </si>
  <si>
    <t>1999-06-17</t>
  </si>
  <si>
    <t>Prelude Therapeutics Inc</t>
  </si>
  <si>
    <t>clinical-stage precision oncology company</t>
  </si>
  <si>
    <t>PRELUDE THERAPEUTICS INC</t>
  </si>
  <si>
    <t>0001678660</t>
  </si>
  <si>
    <t>74065P</t>
  </si>
  <si>
    <t>PRLD</t>
  </si>
  <si>
    <t>2020-09-25</t>
  </si>
  <si>
    <t>ProtoSource Corp</t>
  </si>
  <si>
    <t>technology company that provided internet access and web hosting services in the 1990s</t>
  </si>
  <si>
    <t>0000932772</t>
  </si>
  <si>
    <t>743958</t>
  </si>
  <si>
    <t>PSCO</t>
  </si>
  <si>
    <t>Quest Software Inc</t>
  </si>
  <si>
    <t>provider of enterprise IT solutions, including identity security, data management, and platform modernization</t>
  </si>
  <si>
    <t>QUEST SOFTWARE INC</t>
  </si>
  <si>
    <t>0001088033</t>
  </si>
  <si>
    <t>74834T</t>
  </si>
  <si>
    <t>QSFT</t>
  </si>
  <si>
    <t>1999-08-13</t>
  </si>
  <si>
    <t>Innotrac Corp</t>
  </si>
  <si>
    <t>fulfillment and logistics company serving e-commerce and retail clients</t>
  </si>
  <si>
    <t>INNOTRAC CORP</t>
  </si>
  <si>
    <t>0001051114</t>
  </si>
  <si>
    <t>45767M</t>
  </si>
  <si>
    <t>INOC</t>
  </si>
  <si>
    <t>INOC.1</t>
  </si>
  <si>
    <t>1998-05-07</t>
  </si>
  <si>
    <t>SynQuest Inc</t>
  </si>
  <si>
    <t>supply chain and logistics software company</t>
  </si>
  <si>
    <t>0001082397</t>
  </si>
  <si>
    <t>87160X</t>
  </si>
  <si>
    <t>SYNQ</t>
  </si>
  <si>
    <t>ObjectSoft Corp</t>
  </si>
  <si>
    <t>technology company focused on kiosk-based solutions and public internet access terminals</t>
  </si>
  <si>
    <t>0000896145</t>
  </si>
  <si>
    <t>674427</t>
  </si>
  <si>
    <t>OSFT</t>
  </si>
  <si>
    <t>Codiak Biosciences Inc</t>
  </si>
  <si>
    <t>clinical-stage biopharmaceutical company developing exosome-based therapeutics</t>
  </si>
  <si>
    <t>CODIAK BIOSCIENCES IN</t>
  </si>
  <si>
    <t>0001659352</t>
  </si>
  <si>
    <t>192010</t>
  </si>
  <si>
    <t>CDAK</t>
  </si>
  <si>
    <t>CDAKQ</t>
  </si>
  <si>
    <t>2020-10-14</t>
  </si>
  <si>
    <t>Home Point Capital Inc</t>
  </si>
  <si>
    <r>
      <rPr>
        <rFont val="Calibri"/>
        <color theme="1"/>
        <sz val="11.0"/>
      </rPr>
      <t xml:space="preserve">residential mortgage originator and servicer; involved in </t>
    </r>
    <r>
      <rPr>
        <rFont val="Calibri"/>
        <b/>
        <color theme="1"/>
        <sz val="11.0"/>
      </rPr>
      <t>online lending</t>
    </r>
  </si>
  <si>
    <t>HOME POINT CAPITAL INC</t>
  </si>
  <si>
    <t>0001830197</t>
  </si>
  <si>
    <t>43734L</t>
  </si>
  <si>
    <t>HMPT</t>
  </si>
  <si>
    <t>2021-01-29</t>
  </si>
  <si>
    <t>Sterling Check Corp</t>
  </si>
  <si>
    <t>background screening and identity verification services</t>
  </si>
  <si>
    <t>STERLING CHECK CORP</t>
  </si>
  <si>
    <t>0001645070</t>
  </si>
  <si>
    <t>85917T</t>
  </si>
  <si>
    <t>2021-09-23</t>
  </si>
  <si>
    <t>Guardian Technologies Intl Inc</t>
  </si>
  <si>
    <t>consumer electronics company focused on air purifiers, humidifiers, and home wellness products.</t>
  </si>
  <si>
    <t>0000873198</t>
  </si>
  <si>
    <t>400910</t>
  </si>
  <si>
    <t>GRDN</t>
  </si>
  <si>
    <t>United Rentals Inc</t>
  </si>
  <si>
    <t>largest equipment rental company focuses on construction, industrial, and specialty equipment rentals</t>
  </si>
  <si>
    <t>UNITED RENTALS INC</t>
  </si>
  <si>
    <t>0001047166,0001067701,0001075339,0001067701</t>
  </si>
  <si>
    <t>911363</t>
  </si>
  <si>
    <t>URI</t>
  </si>
  <si>
    <t>1997-12-18</t>
  </si>
  <si>
    <t>Envestnet Inc</t>
  </si>
  <si>
    <t>wealth management technology and data analytics platforms; actively involved in digital financial platforms and robo-advisors</t>
  </si>
  <si>
    <t>ENVESTNET INC</t>
  </si>
  <si>
    <t>0001337619</t>
  </si>
  <si>
    <t>29404K</t>
  </si>
  <si>
    <t>ENV</t>
  </si>
  <si>
    <t>2010-07-29</t>
  </si>
  <si>
    <t>Premier Inc</t>
  </si>
  <si>
    <t>healthcare improvement company that provides data analytics</t>
  </si>
  <si>
    <t>PREMIER INC</t>
  </si>
  <si>
    <t>0002067455,0002067452,0000873738,0001440273,0001821387,0001577916,0000827773,0001163072,0001673268,0001173812</t>
  </si>
  <si>
    <t>74051N</t>
  </si>
  <si>
    <t>PINC</t>
  </si>
  <si>
    <t>2013-09-26</t>
  </si>
  <si>
    <t>Sciplay Corp</t>
  </si>
  <si>
    <t>developer of social casino and casual games</t>
  </si>
  <si>
    <t>SCIPLAY CORP</t>
  </si>
  <si>
    <t>0001760717</t>
  </si>
  <si>
    <t>809087</t>
  </si>
  <si>
    <t>SCPL</t>
  </si>
  <si>
    <t>2019-05-03</t>
  </si>
  <si>
    <t>Broadbase Software Inc</t>
  </si>
  <si>
    <t>provider of e-business analytics and customer relationship management software</t>
  </si>
  <si>
    <t>BROADBASE SOFTWARE</t>
  </si>
  <si>
    <t>0001076016</t>
  </si>
  <si>
    <t>11130R</t>
  </si>
  <si>
    <t>BBSW</t>
  </si>
  <si>
    <t>1999-09-22</t>
  </si>
  <si>
    <t>Great Plains Software Inc</t>
  </si>
  <si>
    <t>provider of accounting and business management software</t>
  </si>
  <si>
    <t>GREAT PLAINS SOFTWARE INC</t>
  </si>
  <si>
    <t>0000758540</t>
  </si>
  <si>
    <t>39119E</t>
  </si>
  <si>
    <t>GPSI</t>
  </si>
  <si>
    <t>GPSI.</t>
  </si>
  <si>
    <t>1997-06-20</t>
  </si>
  <si>
    <t>Women.com Networks</t>
  </si>
  <si>
    <t>early internet portal targeting female audiences</t>
  </si>
  <si>
    <t>WOMEN.COM NETWORKS INC</t>
  </si>
  <si>
    <t>0001084609</t>
  </si>
  <si>
    <t>978149</t>
  </si>
  <si>
    <t>WOMN</t>
  </si>
  <si>
    <t>WOMN.1</t>
  </si>
  <si>
    <t>1999-10-15</t>
  </si>
  <si>
    <t>Collectors Universe Inc</t>
  </si>
  <si>
    <t xml:space="preserve">provides authentication and grading services for collectibles and also offers Collectors Financial Services, which includes financing options for collectibles; services may intersect with digital financial platforms and alternative asset financing. </t>
  </si>
  <si>
    <t>COLLECTORS UNIVERSE INC</t>
  </si>
  <si>
    <t>0001089143</t>
  </si>
  <si>
    <t>19421R</t>
  </si>
  <si>
    <t>CLCT</t>
  </si>
  <si>
    <t>1999-11-05</t>
  </si>
  <si>
    <t>Evolve Software Inc</t>
  </si>
  <si>
    <t>enterprise software for professional services automation.</t>
  </si>
  <si>
    <t>EVOLVE SOFTWARE INC</t>
  </si>
  <si>
    <t>0001097002</t>
  </si>
  <si>
    <t>30049P</t>
  </si>
  <si>
    <t>EVLV</t>
  </si>
  <si>
    <t>EVLVQ</t>
  </si>
  <si>
    <t>2000-08-10</t>
  </si>
  <si>
    <t>Tumbleweed Communications Corp</t>
  </si>
  <si>
    <t>secure messaging and file transfer solutions</t>
  </si>
  <si>
    <t>TUMBLEWEED COMMUNICATIONS CO</t>
  </si>
  <si>
    <t>0001022509</t>
  </si>
  <si>
    <t>899690</t>
  </si>
  <si>
    <t>TMWD</t>
  </si>
  <si>
    <t>1999-08-06</t>
  </si>
  <si>
    <t>DynaVox Inc</t>
  </si>
  <si>
    <t>provider of speech-generating devices and communication software for individuals with speech and language disabilities</t>
  </si>
  <si>
    <t>DYNAVOX INC</t>
  </si>
  <si>
    <t>0001479426</t>
  </si>
  <si>
    <t>26817F</t>
  </si>
  <si>
    <t>DVOX</t>
  </si>
  <si>
    <t>DVOXQ</t>
  </si>
  <si>
    <t>2010-04-22</t>
  </si>
  <si>
    <t>Concur Technologies Inc</t>
  </si>
  <si>
    <t xml:space="preserve">now part of SAP, provides travel and expense management software. Its platform automates expense reporting and integrates with corporate card systems; involved in digital financial platforms for expense automation and may support digital payments through integrations, but it does not offer mobile banking, online lending, cryptocurrency, blockchain, or robo-advisors </t>
  </si>
  <si>
    <t>CONCUR TECHNOLOGIES INC</t>
  </si>
  <si>
    <t>0001066026</t>
  </si>
  <si>
    <t>206708</t>
  </si>
  <si>
    <t>CNQR</t>
  </si>
  <si>
    <t>1998-12-16</t>
  </si>
  <si>
    <t>BioReliance Corp</t>
  </si>
  <si>
    <t>biotechnology company focused on biological safety testing and contract services for the pharmaceutical industry</t>
  </si>
  <si>
    <t>0001036629</t>
  </si>
  <si>
    <t>090951</t>
  </si>
  <si>
    <t>BREL</t>
  </si>
  <si>
    <t>ON24 Inc</t>
  </si>
  <si>
    <t xml:space="preserve">digital engagement platforms for B2B marketing. Its services include webinars, virtual events, and content experiences. </t>
  </si>
  <si>
    <t>ON24 INC</t>
  </si>
  <si>
    <t>0001110611</t>
  </si>
  <si>
    <t>68339B</t>
  </si>
  <si>
    <t>ONTF</t>
  </si>
  <si>
    <t>2021-02-03</t>
  </si>
  <si>
    <t>Paragon Commercial Corp</t>
  </si>
  <si>
    <t>bank holding company offering commercial banking services; more like legacy bank</t>
  </si>
  <si>
    <t>PARAGON COMMERCIAL CORP</t>
  </si>
  <si>
    <t>0001414374</t>
  </si>
  <si>
    <t>69911U</t>
  </si>
  <si>
    <t>PBNC</t>
  </si>
  <si>
    <t>PBNC.</t>
  </si>
  <si>
    <t>ImageMatrix Corp</t>
  </si>
  <si>
    <t>software company with limited public information available</t>
  </si>
  <si>
    <t>IMAGEMATRIX CORP</t>
  </si>
  <si>
    <t>0001010136</t>
  </si>
  <si>
    <t>451921</t>
  </si>
  <si>
    <t>IMCX</t>
  </si>
  <si>
    <t>1996-06-04</t>
  </si>
  <si>
    <t>BlackRock Inc</t>
  </si>
  <si>
    <t xml:space="preserve">global investment management firm offering a wide range of financial products and services. It operates digital financial platforms such as Aladdin for risk management and portfolio analytics. </t>
  </si>
  <si>
    <t>0001060021,0001364742,0001323369,0000880280,0000880280,0000832327,0000832327,0000832327,0001364742,0002012383,0001364742</t>
  </si>
  <si>
    <t>09247X</t>
  </si>
  <si>
    <t>BLK</t>
  </si>
  <si>
    <t>Clarify Inc</t>
  </si>
  <si>
    <t>provider of customer relationship management (CRM) software</t>
  </si>
  <si>
    <t>CLARIFY INC</t>
  </si>
  <si>
    <t>0001000782,0001616128</t>
  </si>
  <si>
    <t>180492</t>
  </si>
  <si>
    <t>CLFY</t>
  </si>
  <si>
    <t>1995-11-03</t>
  </si>
  <si>
    <t>Oscar Health Inc</t>
  </si>
  <si>
    <t xml:space="preserve">health insurance company that uses technology to streamline member services. It offers a mobile app for claims, payments, and virtual care. </t>
  </si>
  <si>
    <t>OSCAR HEALTH INC</t>
  </si>
  <si>
    <t>0001568651</t>
  </si>
  <si>
    <t>687793</t>
  </si>
  <si>
    <t>OSCR</t>
  </si>
  <si>
    <t>2021-03-03</t>
  </si>
  <si>
    <t>Walsh International Inc</t>
  </si>
  <si>
    <t>limited public filings and appears to be inactive</t>
  </si>
  <si>
    <t>WALSH INTERNATIONAL INC</t>
  </si>
  <si>
    <t>0001005882</t>
  </si>
  <si>
    <t>933131</t>
  </si>
  <si>
    <t>WSHI</t>
  </si>
  <si>
    <t>1996-04-16</t>
  </si>
  <si>
    <t>GFI Group Inc</t>
  </si>
  <si>
    <t xml:space="preserve">global brokerage firm providing services in over-the-counter (OTC) and exchange-traded markets. </t>
  </si>
  <si>
    <t>GFI GROUP INC</t>
  </si>
  <si>
    <t>0001292426</t>
  </si>
  <si>
    <t>361652</t>
  </si>
  <si>
    <t>GFIG</t>
  </si>
  <si>
    <t>2005-01-26</t>
  </si>
  <si>
    <t>AboveNet Communications Inc</t>
  </si>
  <si>
    <t>provider of high-bandwidth connectivity and internet infrastructure services.</t>
  </si>
  <si>
    <t>0001026819</t>
  </si>
  <si>
    <t>003743</t>
  </si>
  <si>
    <t>ABOV</t>
  </si>
  <si>
    <t>Blackstone Sec Lending Fund</t>
  </si>
  <si>
    <t>business development company (BDC) that invests in senior secured debt of private U.S. companies</t>
  </si>
  <si>
    <t>BLACKSTONE SECURED LENDING F</t>
  </si>
  <si>
    <t>0001736035</t>
  </si>
  <si>
    <t>09261X</t>
  </si>
  <si>
    <t>BXSL</t>
  </si>
  <si>
    <t>2021-10-28</t>
  </si>
  <si>
    <t>Landacorp Inc</t>
  </si>
  <si>
    <t>healthcare technology company focused on care management software</t>
  </si>
  <si>
    <t>LANDACORP INC</t>
  </si>
  <si>
    <t>0001058177</t>
  </si>
  <si>
    <t>514756</t>
  </si>
  <si>
    <t>LCOR</t>
  </si>
  <si>
    <t>2000-02-09</t>
  </si>
  <si>
    <t>Hamilton Bancorp</t>
  </si>
  <si>
    <t>HAMILTON BANCORP INC/FL</t>
  </si>
  <si>
    <t>0000894172,0001031724,0001551739,0001683418</t>
  </si>
  <si>
    <t>407013</t>
  </si>
  <si>
    <t>HABK</t>
  </si>
  <si>
    <t>1997-03-26</t>
  </si>
  <si>
    <t>Inovalon Holdings Inc</t>
  </si>
  <si>
    <t>healthcare technology company that provides cloud-based platforms for data analytics and outcomes measurement</t>
  </si>
  <si>
    <t>INOVALON HOLDINGS INC</t>
  </si>
  <si>
    <t>0001619954</t>
  </si>
  <si>
    <t>45781D</t>
  </si>
  <si>
    <t>INOV</t>
  </si>
  <si>
    <t>INOV.1</t>
  </si>
  <si>
    <t>2015-02-12</t>
  </si>
  <si>
    <t>First Investors Financial Svcs</t>
  </si>
  <si>
    <t xml:space="preserve">specialty auto finance company; involved in online lending and digital financial platforms for loan servicing and account management. </t>
  </si>
  <si>
    <t>FIRST INVESTORS FINL SVCS GP</t>
  </si>
  <si>
    <t>0000948034</t>
  </si>
  <si>
    <t>32058A</t>
  </si>
  <si>
    <t>FIFS</t>
  </si>
  <si>
    <t>1995-10-03</t>
  </si>
  <si>
    <t>Mountbatten Inc</t>
  </si>
  <si>
    <t>MOUNTBATTEN INC</t>
  </si>
  <si>
    <t>0000922597</t>
  </si>
  <si>
    <t>62454V</t>
  </si>
  <si>
    <t>MTBN</t>
  </si>
  <si>
    <t>Icon CMT Corp</t>
  </si>
  <si>
    <t>technology services company</t>
  </si>
  <si>
    <t>ICON CMT CORP</t>
  </si>
  <si>
    <t>0001037330</t>
  </si>
  <si>
    <t>450918</t>
  </si>
  <si>
    <t>ICMT</t>
  </si>
  <si>
    <t>ICMT.</t>
  </si>
  <si>
    <t>1998-02-12</t>
  </si>
  <si>
    <t>ManTech International Corp</t>
  </si>
  <si>
    <t>provides technology solutions to U.S. government agencies, including cybersecurity, analytics, and systems engineering</t>
  </si>
  <si>
    <t>MANTECH INTL CORP</t>
  </si>
  <si>
    <t>0000892537</t>
  </si>
  <si>
    <t>564563</t>
  </si>
  <si>
    <t>MANT</t>
  </si>
  <si>
    <t>CCC Information Services Group</t>
  </si>
  <si>
    <t>company provides AI-driven software for the insurance and automotive industries</t>
  </si>
  <si>
    <t>CCC INFORMATION SVCS GRP INC</t>
  </si>
  <si>
    <t>0001017917</t>
  </si>
  <si>
    <t>12487Q</t>
  </si>
  <si>
    <t>CCCG</t>
  </si>
  <si>
    <t>1996-08-16</t>
  </si>
  <si>
    <t>Source Services Corp</t>
  </si>
  <si>
    <t>staffing and IT services company</t>
  </si>
  <si>
    <t>SOURCE SERVICES CORP</t>
  </si>
  <si>
    <t>0000800013,0001014982</t>
  </si>
  <si>
    <t>836162</t>
  </si>
  <si>
    <t>SRSV</t>
  </si>
  <si>
    <t>1996-07-29</t>
  </si>
  <si>
    <t>Career Horizons Inc</t>
  </si>
  <si>
    <t>career development or staffing-related company</t>
  </si>
  <si>
    <t>CAREER HORIZONS INC  -VTG</t>
  </si>
  <si>
    <t>0000917673</t>
  </si>
  <si>
    <t>141672</t>
  </si>
  <si>
    <t>CARH</t>
  </si>
  <si>
    <t>CHZ.1</t>
  </si>
  <si>
    <t>1994-03-23</t>
  </si>
  <si>
    <t>Telemate Net Software Inc</t>
  </si>
  <si>
    <t>network management and internet usage monitoring software</t>
  </si>
  <si>
    <t>TELEMATE.NET SOFTWARE</t>
  </si>
  <si>
    <t>0001088214</t>
  </si>
  <si>
    <t>87943L</t>
  </si>
  <si>
    <t>TMNT</t>
  </si>
  <si>
    <t>1999-09-29</t>
  </si>
  <si>
    <t>ONTRACK Data International</t>
  </si>
  <si>
    <t>data recovery and electronic discovery services</t>
  </si>
  <si>
    <t>ONTRACK DATA INTL INC</t>
  </si>
  <si>
    <t>0001022703</t>
  </si>
  <si>
    <t>683372</t>
  </si>
  <si>
    <t>ONDI</t>
  </si>
  <si>
    <t>1996-10-21</t>
  </si>
  <si>
    <t>Genomica Corp</t>
  </si>
  <si>
    <t>biotechnology company focused on genomic data analysis</t>
  </si>
  <si>
    <t>GENOMICA CORP</t>
  </si>
  <si>
    <t>0001108915</t>
  </si>
  <si>
    <t>37243Q</t>
  </si>
  <si>
    <t>GNOM</t>
  </si>
  <si>
    <t>GNOM.1</t>
  </si>
  <si>
    <t>2000-09-29</t>
  </si>
  <si>
    <t>Progenics Pharmaceuticals Inc</t>
  </si>
  <si>
    <t>biopharmaceutical company focused on cancer and infectious disease treatments.</t>
  </si>
  <si>
    <t>PROGENICS PHARMACEUTICAL INC</t>
  </si>
  <si>
    <t>0000835887</t>
  </si>
  <si>
    <t>743187</t>
  </si>
  <si>
    <t>PGNX</t>
  </si>
  <si>
    <t>1997-11-19</t>
  </si>
  <si>
    <t>Crop Growers Corp</t>
  </si>
  <si>
    <t>crop insurance and risk management services to farmers</t>
  </si>
  <si>
    <t>CROP GROWERS CORP</t>
  </si>
  <si>
    <t>0000921584</t>
  </si>
  <si>
    <t>227297</t>
  </si>
  <si>
    <t>CGRO</t>
  </si>
  <si>
    <t>CGRO.1</t>
  </si>
  <si>
    <t>1994-06-23</t>
  </si>
  <si>
    <t>Vision Twenty-One Inc</t>
  </si>
  <si>
    <t>vision care management company</t>
  </si>
  <si>
    <t>VISION TWENTY-ONE INC</t>
  </si>
  <si>
    <t>0001020258</t>
  </si>
  <si>
    <t>92831N</t>
  </si>
  <si>
    <t>EYES</t>
  </si>
  <si>
    <t>EYES.1</t>
  </si>
  <si>
    <t>1997-08-18</t>
  </si>
  <si>
    <t>Republic Cos Group Inc</t>
  </si>
  <si>
    <t>property and casualty insurance company</t>
  </si>
  <si>
    <t>REPUBLIC COMPANIES GROUP</t>
  </si>
  <si>
    <t>0001320092</t>
  </si>
  <si>
    <t>760349</t>
  </si>
  <si>
    <t>RUTX</t>
  </si>
  <si>
    <t>2005-08-03</t>
  </si>
  <si>
    <t>Blend Labs Inc</t>
  </si>
  <si>
    <t>financial technology company that provides cloud-based software for banks, credit unions, and other financial institutions</t>
  </si>
  <si>
    <t>BLEND LABS INC</t>
  </si>
  <si>
    <t>0001855747</t>
  </si>
  <si>
    <t>09352U</t>
  </si>
  <si>
    <t>BLND</t>
  </si>
  <si>
    <t>2021-07-16</t>
  </si>
  <si>
    <t>Donnelley Enterprise Solutions</t>
  </si>
  <si>
    <t>business process outsourcing and document management company</t>
  </si>
  <si>
    <t>DONNELLEY ENTERPRISE SOLTNS</t>
  </si>
  <si>
    <t>0001019336</t>
  </si>
  <si>
    <t>25786M</t>
  </si>
  <si>
    <t>DEZI</t>
  </si>
  <si>
    <t>RRD</t>
  </si>
  <si>
    <t>1996-10-30</t>
  </si>
  <si>
    <t>LifeLock Inc</t>
  </si>
  <si>
    <t xml:space="preserve">identity theft protection services. It offers credit monitoring, alerts, and identity restoration services; supports digital financial platforms through identity verification and fraud prevention. </t>
  </si>
  <si>
    <t>LIFELOCK INC</t>
  </si>
  <si>
    <t>0001383871,0001383871,0000849399</t>
  </si>
  <si>
    <t>53224V</t>
  </si>
  <si>
    <t>LOCK</t>
  </si>
  <si>
    <t>2012-10-03</t>
  </si>
  <si>
    <t>Finl Security Assurance Hldgs</t>
  </si>
  <si>
    <t>provided financial guaranty insurance for municipal, infrastructure, and asset-backed securities</t>
  </si>
  <si>
    <t>0000913357</t>
  </si>
  <si>
    <t>31769P</t>
  </si>
  <si>
    <t>FSA</t>
  </si>
  <si>
    <t>UYW</t>
  </si>
  <si>
    <t>Debt Resolve Inc</t>
  </si>
  <si>
    <t>online debt resolution and collection platforms. Its services included negotiation tools for consumers and creditors; involved in digital financial platforms for debt settlement and online lending support</t>
  </si>
  <si>
    <t>DEBT RESOLVE INC</t>
  </si>
  <si>
    <t>0001106645,0001359595</t>
  </si>
  <si>
    <t>24276R</t>
  </si>
  <si>
    <t>DRV</t>
  </si>
  <si>
    <t>DRSV</t>
  </si>
  <si>
    <t>2006-11-01</t>
  </si>
  <si>
    <t>Imprivata Inc</t>
  </si>
  <si>
    <t>digital identity and access management solutions for healthcare and other regulated industries</t>
  </si>
  <si>
    <t>IMPRIVATA INC</t>
  </si>
  <si>
    <t>0001328015</t>
  </si>
  <si>
    <t>45323J</t>
  </si>
  <si>
    <t>IMPR</t>
  </si>
  <si>
    <t>2014-06-25</t>
  </si>
  <si>
    <t>Marimba Inc</t>
  </si>
  <si>
    <t>provider of software change and configuration management solutions</t>
  </si>
  <si>
    <t>MARIMBA INC</t>
  </si>
  <si>
    <t>0001078295</t>
  </si>
  <si>
    <t>56781Q</t>
  </si>
  <si>
    <t>MRBA</t>
  </si>
  <si>
    <t>1999-04-30</t>
  </si>
  <si>
    <t>iPass Inc</t>
  </si>
  <si>
    <t>mobile connectivity software that enabled seamless switching between cellular and Wi-Fi networks</t>
  </si>
  <si>
    <t>IPASS INC</t>
  </si>
  <si>
    <t>0001654812,0001053374</t>
  </si>
  <si>
    <t>46261V</t>
  </si>
  <si>
    <t>IPAS</t>
  </si>
  <si>
    <t>Community Bancorp NV</t>
  </si>
  <si>
    <t>COMMUNITY BANCORP/NV</t>
  </si>
  <si>
    <t>0001304366</t>
  </si>
  <si>
    <t>20343T</t>
  </si>
  <si>
    <t>CBON</t>
  </si>
  <si>
    <t>CBONQ</t>
  </si>
  <si>
    <t>2004-12-10</t>
  </si>
  <si>
    <t>Liquidity Services Inc</t>
  </si>
  <si>
    <t xml:space="preserve">B2B e-commerce marketplaces for surplus assets. It provides auction platforms for government and commercial clients; involved in digital financial platforms for asset liquidation and surplus management </t>
  </si>
  <si>
    <t>LIQUIDITY SERVICES INC</t>
  </si>
  <si>
    <t>0001235468</t>
  </si>
  <si>
    <t>53635B</t>
  </si>
  <si>
    <t>LQDT</t>
  </si>
  <si>
    <t>2006-02-23</t>
  </si>
  <si>
    <t>Food Court Entertainment</t>
  </si>
  <si>
    <t>media and entertainment company</t>
  </si>
  <si>
    <t>0000940800</t>
  </si>
  <si>
    <t>344690</t>
  </si>
  <si>
    <t>FCENA</t>
  </si>
  <si>
    <t>HTE Inc</t>
  </si>
  <si>
    <t>provider of enterprise software solutions for local governments and public sector organizations</t>
  </si>
  <si>
    <t>H T E INC</t>
  </si>
  <si>
    <t>0001010655,0001355600</t>
  </si>
  <si>
    <t>403926</t>
  </si>
  <si>
    <t>HTEI</t>
  </si>
  <si>
    <t>1997-06-10</t>
  </si>
  <si>
    <t>NantHealth Inc</t>
  </si>
  <si>
    <t xml:space="preserve">healthcare technology company offering enterprise solutions for data integration and clinical decision support. </t>
  </si>
  <si>
    <t>NANTHEALTH INC</t>
  </si>
  <si>
    <t>0001566469</t>
  </si>
  <si>
    <t>630104</t>
  </si>
  <si>
    <t>NH</t>
  </si>
  <si>
    <t>NHIQ</t>
  </si>
  <si>
    <t>2016-06-02</t>
  </si>
  <si>
    <t>Snowflake Inc</t>
  </si>
  <si>
    <t>cloud-based data platform that enables data storage, processing, and analytics. It supports financial institutions with secure data infrastructure and compliance tools.</t>
  </si>
  <si>
    <t>SNOWFLAKE INC</t>
  </si>
  <si>
    <t>0001640147</t>
  </si>
  <si>
    <t>833445</t>
  </si>
  <si>
    <t>SNOW</t>
  </si>
  <si>
    <t>2020-09-10</t>
  </si>
  <si>
    <t>Root Inc</t>
  </si>
  <si>
    <t>technology-driven auto insurance company. It uses mobile telematics and data science to offer personalized insurance rates; involved in digital financial platforms for insurance and mobile-based underwriting</t>
  </si>
  <si>
    <t>ROOT INC</t>
  </si>
  <si>
    <t>0001788882</t>
  </si>
  <si>
    <t>77664L</t>
  </si>
  <si>
    <t>ROOT</t>
  </si>
  <si>
    <t>2020-10-28</t>
  </si>
  <si>
    <t>PFSweb Inc</t>
  </si>
  <si>
    <t>eCommerce fulfillment and logistics services. It offers order-to-cash solutions, including payment processing and fraud management; involved in digital payments and digital financial platforms for eCommerce operations</t>
  </si>
  <si>
    <t>PFSWEB INC</t>
  </si>
  <si>
    <t>0001095315</t>
  </si>
  <si>
    <t>717098</t>
  </si>
  <si>
    <t>PFSW</t>
  </si>
  <si>
    <t>1999-12-02</t>
  </si>
  <si>
    <t>Philips International Realty</t>
  </si>
  <si>
    <t>real estate investment and development company</t>
  </si>
  <si>
    <t>PHILIPS INTL REALTY CORP</t>
  </si>
  <si>
    <t>0001050686</t>
  </si>
  <si>
    <t>718333</t>
  </si>
  <si>
    <t>PHR</t>
  </si>
  <si>
    <t>PHIR</t>
  </si>
  <si>
    <t>1998-05-08</t>
  </si>
  <si>
    <t>Sailpoint Tech Hldg Inc</t>
  </si>
  <si>
    <t xml:space="preserve">identity security and governance; Its platform helps enterprises manage and secure access to applications and data. </t>
  </si>
  <si>
    <t>SAILPOINT TECHNO HLDG</t>
  </si>
  <si>
    <t>0001627857</t>
  </si>
  <si>
    <t>78781P</t>
  </si>
  <si>
    <t>SAIL</t>
  </si>
  <si>
    <t>SAIL.2</t>
  </si>
  <si>
    <t>2017-11-17</t>
  </si>
  <si>
    <t>Bluestone Software Inc</t>
  </si>
  <si>
    <t>provider of enterprise Java application servers and development tools</t>
  </si>
  <si>
    <t>BLUESTONE SOFTWARE INC</t>
  </si>
  <si>
    <t>0001039242</t>
  </si>
  <si>
    <t>09623P</t>
  </si>
  <si>
    <t>BLSW</t>
  </si>
  <si>
    <t>BLSW.1</t>
  </si>
  <si>
    <t>1999-09-24</t>
  </si>
  <si>
    <t>International CompuTex Inc</t>
  </si>
  <si>
    <t>INTERNATIONAL COMPUTEX INC</t>
  </si>
  <si>
    <t>0001030681</t>
  </si>
  <si>
    <t>459337</t>
  </si>
  <si>
    <t>ICIQ</t>
  </si>
  <si>
    <t>1997-04-29</t>
  </si>
  <si>
    <t>Xilio Therapeutics Inc</t>
  </si>
  <si>
    <t>clinical-stage biotechnology company focused on tumor-selective immunotherapies</t>
  </si>
  <si>
    <t>XILIO THERAPEUTICS INC</t>
  </si>
  <si>
    <t>0001840233</t>
  </si>
  <si>
    <t>98422T</t>
  </si>
  <si>
    <t>XLO</t>
  </si>
  <si>
    <t>2021-10-22</t>
  </si>
  <si>
    <t>Lantern Pharma Inc</t>
  </si>
  <si>
    <t xml:space="preserve">clinical-stage oncology company leveraging AI and machine learning for drug development. </t>
  </si>
  <si>
    <t>LANTERN PHARMA INC</t>
  </si>
  <si>
    <t>0001763950</t>
  </si>
  <si>
    <t>51654W</t>
  </si>
  <si>
    <t>LTRN</t>
  </si>
  <si>
    <t>2020-06-11</t>
  </si>
  <si>
    <t>Cvent Inc</t>
  </si>
  <si>
    <t xml:space="preserve">provides event management software and services. It offers tools for registration, venue sourcing, and attendee engagement. </t>
  </si>
  <si>
    <t>CVENT INC</t>
  </si>
  <si>
    <t>0001122897</t>
  </si>
  <si>
    <t>23247G</t>
  </si>
  <si>
    <t>CVT</t>
  </si>
  <si>
    <t>CVT.</t>
  </si>
  <si>
    <t>2013-08-09</t>
  </si>
  <si>
    <t>SS&amp;C Technologies Hold</t>
  </si>
  <si>
    <t xml:space="preserve">global provider of investment and financial software-enabled services; actively involved in digital financial platforms, robo-advisors, and blockchain-enabled services. </t>
  </si>
  <si>
    <t>SS&amp;C TECHNOLOGIES HLDGS INC</t>
  </si>
  <si>
    <t>0001402436</t>
  </si>
  <si>
    <t>78467J</t>
  </si>
  <si>
    <t>SSNC</t>
  </si>
  <si>
    <t>Nassda Corp</t>
  </si>
  <si>
    <t>provider of electronic design automation software</t>
  </si>
  <si>
    <t>NASSDA CORP</t>
  </si>
  <si>
    <t>0001157624</t>
  </si>
  <si>
    <t>63172M</t>
  </si>
  <si>
    <t>NSDA</t>
  </si>
  <si>
    <t>2001-12-13</t>
  </si>
  <si>
    <t>Carriage Services Inc</t>
  </si>
  <si>
    <t>provider of funeral and cemetery services</t>
  </si>
  <si>
    <t>CARRIAGE SERVICES INC</t>
  </si>
  <si>
    <t>0001016281</t>
  </si>
  <si>
    <t>143905</t>
  </si>
  <si>
    <t>CRSV</t>
  </si>
  <si>
    <t>CSV</t>
  </si>
  <si>
    <t>1996-08-08</t>
  </si>
  <si>
    <t>Sterling Bancorp Inc</t>
  </si>
  <si>
    <t>regional bank offering commercial and consumer banking services; involved in digital financial platforms and online lending</t>
  </si>
  <si>
    <t>STERLING BANCORP INC</t>
  </si>
  <si>
    <t>0001680379</t>
  </si>
  <si>
    <t>85917W</t>
  </si>
  <si>
    <t>SBT</t>
  </si>
  <si>
    <t>Camping World Holdings Inc</t>
  </si>
  <si>
    <t xml:space="preserve">largest retailer of RVs and related products. Its business model focuses on vehicle sales, service, and outdoor lifestyle products. </t>
  </si>
  <si>
    <t>CAMPING WORLD HOLDINGS INC</t>
  </si>
  <si>
    <t>0001669779</t>
  </si>
  <si>
    <t>13462K</t>
  </si>
  <si>
    <t>CWH</t>
  </si>
  <si>
    <t>2016-10-07</t>
  </si>
  <si>
    <t>Direct Digital Holdings Inc</t>
  </si>
  <si>
    <t xml:space="preserve">digital advertising and marketing technology company. It operates supply-side and buy-side platforms for programmatic advertising. </t>
  </si>
  <si>
    <t>DIRECT DIGITAL HOLDINGS INC</t>
  </si>
  <si>
    <t>0001880613</t>
  </si>
  <si>
    <t>25461T</t>
  </si>
  <si>
    <t>DRCT</t>
  </si>
  <si>
    <t>2022-02-11</t>
  </si>
  <si>
    <t>Stanley Inc</t>
  </si>
  <si>
    <t>provider of IT services to U.S. government agencies</t>
  </si>
  <si>
    <t>STANLEY INC</t>
  </si>
  <si>
    <t>0001449866,0000751478,0001011196,0000093284,0000839302,0001081841,0001360555</t>
  </si>
  <si>
    <t>854532</t>
  </si>
  <si>
    <t>SXE</t>
  </si>
  <si>
    <t>SXE.1</t>
  </si>
  <si>
    <t>2006-10-18</t>
  </si>
  <si>
    <t>Applied Therapeutics Inc</t>
  </si>
  <si>
    <t>clinical-stage biopharmaceutical company focused on rare diseases</t>
  </si>
  <si>
    <t>APPLIED THERAPEUTICS INC</t>
  </si>
  <si>
    <t>0001697532</t>
  </si>
  <si>
    <t>03828A</t>
  </si>
  <si>
    <t>APLT</t>
  </si>
  <si>
    <t>2019-05-14</t>
  </si>
  <si>
    <t>MPW Industrial Services Group</t>
  </si>
  <si>
    <t>provides industrial cleaning and maintenance services</t>
  </si>
  <si>
    <t>MPW INDUSTRIAL SERVICES GRP</t>
  </si>
  <si>
    <t>0001047098</t>
  </si>
  <si>
    <t>553444</t>
  </si>
  <si>
    <t>MPWG</t>
  </si>
  <si>
    <t>1997-12-02</t>
  </si>
  <si>
    <t>Proofpoint Inc</t>
  </si>
  <si>
    <t xml:space="preserve">cybersecurity and compliance company, offers threat protection, data loss prevention, and regulatory compliance tools. </t>
  </si>
  <si>
    <t>PROOFPOINT INC</t>
  </si>
  <si>
    <t>0001212458</t>
  </si>
  <si>
    <t>743424</t>
  </si>
  <si>
    <t>PFPT</t>
  </si>
  <si>
    <t>2012-04-20</t>
  </si>
  <si>
    <t>Community Capital Bancshares</t>
  </si>
  <si>
    <t>0001074369</t>
  </si>
  <si>
    <t>203634</t>
  </si>
  <si>
    <t>ALBY</t>
  </si>
  <si>
    <t>Redfin Corp</t>
  </si>
  <si>
    <t>technology-powered real estate brokerage</t>
  </si>
  <si>
    <t>REDFIN CORP</t>
  </si>
  <si>
    <t>0001382821</t>
  </si>
  <si>
    <t>75737F</t>
  </si>
  <si>
    <t>RDFN</t>
  </si>
  <si>
    <t>2017-07-28</t>
  </si>
  <si>
    <t>Applix Inc</t>
  </si>
  <si>
    <t>provider of business performance management software</t>
  </si>
  <si>
    <t>0000932112</t>
  </si>
  <si>
    <t>038316</t>
  </si>
  <si>
    <t>APLX</t>
  </si>
  <si>
    <t>Savvis Communications Corp</t>
  </si>
  <si>
    <t>Provided cloud and network infrastructure services, used by fintechs and financial institutions.</t>
  </si>
  <si>
    <t>SAVVIS INC</t>
  </si>
  <si>
    <t>SVVS</t>
  </si>
  <si>
    <t>TGV Software Inc</t>
  </si>
  <si>
    <t>Developed network software; enabled secure connectivity, useful in financial systems.</t>
  </si>
  <si>
    <t>TGV SOFTWARE INC</t>
  </si>
  <si>
    <t>TGVI</t>
  </si>
  <si>
    <t>TGVI.</t>
  </si>
  <si>
    <t>Symetra Financial Corp</t>
  </si>
  <si>
    <t>Insurance and annuities firm that has partnered with digital wealth platforms.</t>
  </si>
  <si>
    <t>SYMETRA FINANCIAL CORP</t>
  </si>
  <si>
    <t>87151Q</t>
  </si>
  <si>
    <t>SYA</t>
  </si>
  <si>
    <t>Winfield Capital Corp</t>
  </si>
  <si>
    <t>Venture capital firm; provided funding to early-stage companies, possibly including fintechs.</t>
  </si>
  <si>
    <t>WINFIELD CAPITAL CORP</t>
  </si>
  <si>
    <t>WCAP</t>
  </si>
  <si>
    <t>Universal Compression Holdings</t>
  </si>
  <si>
    <t>Provided gas compression equipment and services for the energy industry.</t>
  </si>
  <si>
    <t>UNIVERSAL COMPRESSION HLDGS</t>
  </si>
  <si>
    <t>UCO</t>
  </si>
  <si>
    <t>UCO.1</t>
  </si>
  <si>
    <t>Maxygen Inc</t>
  </si>
  <si>
    <t>Biotech company developing protein-based drugs.</t>
  </si>
  <si>
    <t>MAXYGEN INC</t>
  </si>
  <si>
    <t>MAXY</t>
  </si>
  <si>
    <t>RE/MAX Holdings Inc</t>
  </si>
  <si>
    <t>Real estate franchisor; acquired fintech startup wemlo for digital mortgage processing.</t>
  </si>
  <si>
    <t>RE/MAX HOLDINGS INC</t>
  </si>
  <si>
    <t>75524W</t>
  </si>
  <si>
    <t>RMAX</t>
  </si>
  <si>
    <t>HomeCom Communications Inc</t>
  </si>
  <si>
    <t>Offered online solutions for financial institutions in the 1990s; supported digital banking.</t>
  </si>
  <si>
    <t>43738N</t>
  </si>
  <si>
    <t>HCOM</t>
  </si>
  <si>
    <t>Meta Software Inc</t>
  </si>
  <si>
    <t xml:space="preserve">Provided modeling and simulation tools; relevant to risk modeling in finance.
</t>
  </si>
  <si>
    <t>META-SOFTWARE INC</t>
  </si>
  <si>
    <t>MESW</t>
  </si>
  <si>
    <t>Extensity Inc</t>
  </si>
  <si>
    <t>Delivered business process management software, including expense reporting—indirectly financial but not fintech.</t>
  </si>
  <si>
    <t>EXTENSITY INC</t>
  </si>
  <si>
    <t>EXTN</t>
  </si>
  <si>
    <t>EXTN.1</t>
  </si>
  <si>
    <t>SP Bancorp Inc</t>
  </si>
  <si>
    <t>A community bank holding company; traditional financial services.</t>
  </si>
  <si>
    <t>SP BANCORP INC</t>
  </si>
  <si>
    <t>78468K</t>
  </si>
  <si>
    <t>SPBC</t>
  </si>
  <si>
    <t>SPBC.2</t>
  </si>
  <si>
    <t>Loronix Information Systems</t>
  </si>
  <si>
    <t>Specialized in digital video security; no direct fintech relevance.</t>
  </si>
  <si>
    <t>LORONIX INFORMATION SYS INC</t>
  </si>
  <si>
    <t>LORX</t>
  </si>
  <si>
    <t>Elevation Oncology Inc</t>
  </si>
  <si>
    <t>Oncology drug development company.</t>
  </si>
  <si>
    <t>ELEVATION ONCOL INC</t>
  </si>
  <si>
    <t>28623U</t>
  </si>
  <si>
    <t>ELEV</t>
  </si>
  <si>
    <t>Borderfree Inc</t>
  </si>
  <si>
    <t>Enabled international e-commerce for U.S. retailers; more retail tech than fintech.</t>
  </si>
  <si>
    <t>BORDERFREE INC</t>
  </si>
  <si>
    <t>09970L</t>
  </si>
  <si>
    <t>BRDR</t>
  </si>
  <si>
    <t>NexImmune Inc</t>
  </si>
  <si>
    <t>Biotech company developing immunotherapies.</t>
  </si>
  <si>
    <t>NEXIMMUNE INC</t>
  </si>
  <si>
    <t>65344D</t>
  </si>
  <si>
    <t>NEXI</t>
  </si>
  <si>
    <t>Allovir Inc</t>
  </si>
  <si>
    <t>Specializes in cell therapies for viral diseases</t>
  </si>
  <si>
    <t>ALVR</t>
  </si>
  <si>
    <t>International Sec Exchange Inc</t>
  </si>
  <si>
    <t>Pioneered electronic trading platforms; significant fintech infrastructure role.</t>
  </si>
  <si>
    <t>INTL SECURITIES EXCHNG HLDGS</t>
  </si>
  <si>
    <t>46031W</t>
  </si>
  <si>
    <t>ISE</t>
  </si>
  <si>
    <t>Exact Sciences Corp</t>
  </si>
  <si>
    <t>Molecular diagnostics company focused on cancer screening.</t>
  </si>
  <si>
    <t>EXACT SCIENCES CORP</t>
  </si>
  <si>
    <t>30063P</t>
  </si>
  <si>
    <t>EXAS</t>
  </si>
  <si>
    <t>Corsair Communications Inc</t>
  </si>
  <si>
    <t>Created telecom billing software; tech-adjacent but not fintech.</t>
  </si>
  <si>
    <t>CORSAIR COMMUNICATIONS INC</t>
  </si>
  <si>
    <t>CAIR</t>
  </si>
  <si>
    <t>SOS Staffing Services Inc</t>
  </si>
  <si>
    <t>Employment staffing agency.</t>
  </si>
  <si>
    <t>SOS STAFFING SERVICES INC</t>
  </si>
  <si>
    <t>78462X</t>
  </si>
  <si>
    <t>SOSS</t>
  </si>
  <si>
    <t>Ondisplay Inc</t>
  </si>
  <si>
    <t>Created web-based data visualization tools during the dot-com era.</t>
  </si>
  <si>
    <t>ONDISPLAY INC</t>
  </si>
  <si>
    <t>68232L</t>
  </si>
  <si>
    <t>ONDS</t>
  </si>
  <si>
    <t>ONDS.1</t>
  </si>
  <si>
    <t>Dearborn Bancorp Inc,MI</t>
  </si>
  <si>
    <t>Bank holding company in Michigan; traditional bank.</t>
  </si>
  <si>
    <t>DEARBORN BANCORP INC</t>
  </si>
  <si>
    <t>24242R</t>
  </si>
  <si>
    <t>DEAR</t>
  </si>
  <si>
    <t>Turning Point Therapeutics</t>
  </si>
  <si>
    <t>Biotech company specializing in cancer treatments.</t>
  </si>
  <si>
    <t>TURNING POINT THERAPE INC</t>
  </si>
  <si>
    <t>90041T</t>
  </si>
  <si>
    <t>TPTX</t>
  </si>
  <si>
    <t>First Shares Bancorp Inc,IN</t>
  </si>
  <si>
    <t>Indiana-based community bank; not a fintech.</t>
  </si>
  <si>
    <t>FIRST SHARES BANCORP INC</t>
  </si>
  <si>
    <t>33640Q</t>
  </si>
  <si>
    <t>FBGI</t>
  </si>
  <si>
    <t>FBGI.</t>
  </si>
  <si>
    <t>Watson Wyatt &amp; Co Holdings</t>
  </si>
  <si>
    <t>HR consulting and actuarial services; merged into Towers Watson.</t>
  </si>
  <si>
    <t>WW</t>
  </si>
  <si>
    <t>F5 Networks Inc</t>
  </si>
  <si>
    <t>Delivers application and cybersecurity products; widely used by banks and fintechs but not fintech itself.</t>
  </si>
  <si>
    <t>F5 INC</t>
  </si>
  <si>
    <t>FFIV</t>
  </si>
  <si>
    <t>Datastream Systems Inc</t>
  </si>
  <si>
    <t>Enterprise asset management software; not finance-specific.</t>
  </si>
  <si>
    <t>DATASTREAM SYSTEMS INC</t>
  </si>
  <si>
    <t>DSTM</t>
  </si>
  <si>
    <t>Citizens First Corp</t>
  </si>
  <si>
    <t>Bank holding company offering traditional banking services.</t>
  </si>
  <si>
    <t>CITIZENS FIRST CORP</t>
  </si>
  <si>
    <t>17462Q</t>
  </si>
  <si>
    <t>CZFC</t>
  </si>
  <si>
    <t>Constant Contact Inc</t>
  </si>
  <si>
    <t>Email marketing and CRM software company.</t>
  </si>
  <si>
    <t>CONSTANT CONTACT INC</t>
  </si>
  <si>
    <t>CTCT</t>
  </si>
  <si>
    <t>Sequoia Software Corp</t>
  </si>
  <si>
    <t>Provided XML-based web portals; not specifically fintech.</t>
  </si>
  <si>
    <t>SEQUOIA SOFTWARE CORP</t>
  </si>
  <si>
    <t>SQSW</t>
  </si>
  <si>
    <t>Hartford Life(ITT Hartford)</t>
  </si>
  <si>
    <t>Insurance and investment firm; traditional financial services.</t>
  </si>
  <si>
    <t>HARTFORD LIFE INC  -CL A</t>
  </si>
  <si>
    <t>HLI</t>
  </si>
  <si>
    <t>HLI.1</t>
  </si>
  <si>
    <t>HIG</t>
  </si>
  <si>
    <t>Sezzle Inc</t>
  </si>
  <si>
    <t>Buy-now-pay-later fintech offering installment plans for shoppers.</t>
  </si>
  <si>
    <t>SEZZLE INC</t>
  </si>
  <si>
    <t>78435P</t>
  </si>
  <si>
    <t>SZL</t>
  </si>
  <si>
    <t>SEZL</t>
  </si>
  <si>
    <t>AVROBIO Inc</t>
  </si>
  <si>
    <t>Gene therapy company focused on rare diseases.</t>
  </si>
  <si>
    <t>05455M</t>
  </si>
  <si>
    <t>AVRO</t>
  </si>
  <si>
    <t>BeyondSpring Inc</t>
  </si>
  <si>
    <t>Biopharmaceutical company targeting oncology and immunotherapy.</t>
  </si>
  <si>
    <t>BEYONDSPRING INC</t>
  </si>
  <si>
    <t>G10830</t>
  </si>
  <si>
    <t>BYSI</t>
  </si>
  <si>
    <t>Firepond Inc</t>
  </si>
  <si>
    <t>Developed sales configuration software; not finance-specific.</t>
  </si>
  <si>
    <t>FIREPOND INC-OLD</t>
  </si>
  <si>
    <t>FIRE</t>
  </si>
  <si>
    <t>FIRE.1</t>
  </si>
  <si>
    <t>Web Street Inc</t>
  </si>
  <si>
    <t>Online trading company during the dot-com boom; now defunct.</t>
  </si>
  <si>
    <t>WEB STREET INC</t>
  </si>
  <si>
    <t>WEBS</t>
  </si>
  <si>
    <t>WEBS.2</t>
  </si>
  <si>
    <t>Gametek Inc</t>
  </si>
  <si>
    <t>Developer of video games based on TV game shows.</t>
  </si>
  <si>
    <t>GAMETEK INC</t>
  </si>
  <si>
    <t>36465R</t>
  </si>
  <si>
    <t>GMTK</t>
  </si>
  <si>
    <t>3GAMEE</t>
  </si>
  <si>
    <t>Elevate Credit Inc</t>
  </si>
  <si>
    <t>Online lender offering tech-driven credit solutions for non-prime consumers.</t>
  </si>
  <si>
    <t>ELEVATE CREDIT INC</t>
  </si>
  <si>
    <t>28621V</t>
  </si>
  <si>
    <t>ELVT</t>
  </si>
  <si>
    <t>Qlik Technologies Inc</t>
  </si>
  <si>
    <t>Business analytics software used across industries including fintech.</t>
  </si>
  <si>
    <t>QLIK TECHNOLOGIES INC</t>
  </si>
  <si>
    <t>74733T</t>
  </si>
  <si>
    <t>QLIK</t>
  </si>
  <si>
    <t>Financial Institutions Inc</t>
  </si>
  <si>
    <t>Traditional bank holding company in New York State.</t>
  </si>
  <si>
    <t>FINANCIAL INSTITUTIONS INC</t>
  </si>
  <si>
    <t>FISI</t>
  </si>
  <si>
    <t>Engage Technologies Inc</t>
  </si>
  <si>
    <t>Online advertising and digital marketing services.</t>
  </si>
  <si>
    <t>ENGAGE INC</t>
  </si>
  <si>
    <t>ENGA</t>
  </si>
  <si>
    <t>ENGA.</t>
  </si>
  <si>
    <t>CMGI</t>
  </si>
  <si>
    <t>iVillage Inc</t>
  </si>
  <si>
    <t>Online community and media platform for women.</t>
  </si>
  <si>
    <t>IVILLAGE INC</t>
  </si>
  <si>
    <t>46588H</t>
  </si>
  <si>
    <t>IVIL</t>
  </si>
  <si>
    <t>Kendle International Inc</t>
  </si>
  <si>
    <t>Clinical research organization supporting pharmaceutical trials.</t>
  </si>
  <si>
    <t>KENDLE INTERNATIONAL INC</t>
  </si>
  <si>
    <t>48880L</t>
  </si>
  <si>
    <t>KNDL</t>
  </si>
  <si>
    <t>Centene Corp</t>
  </si>
  <si>
    <t>Managed care organization focused on government-sponsored healthcare programs.</t>
  </si>
  <si>
    <t>CENTENE CORP</t>
  </si>
  <si>
    <t>15135B</t>
  </si>
  <si>
    <t>CNTE</t>
  </si>
  <si>
    <t>CNC</t>
  </si>
  <si>
    <t>Workday Inc</t>
  </si>
  <si>
    <t>Delivers cloud-based finance and HR solutions used by large enterprises and fintechs.</t>
  </si>
  <si>
    <t>WORKDAY INC</t>
  </si>
  <si>
    <t>98138H</t>
  </si>
  <si>
    <t>WDAY</t>
  </si>
  <si>
    <t>DSET Corp</t>
  </si>
  <si>
    <t>Telecom software company providing operations support tools.</t>
  </si>
  <si>
    <t>DSET CORP</t>
  </si>
  <si>
    <t>DSET</t>
  </si>
  <si>
    <t>DSET.</t>
  </si>
  <si>
    <t>Digital Data Networks Inc</t>
  </si>
  <si>
    <t>Developed digital signage and kiosk systems.</t>
  </si>
  <si>
    <t>DIDA</t>
  </si>
  <si>
    <t>Forma Therapeutics Hldg Inc</t>
  </si>
  <si>
    <t>Biotech company focused on rare diseases and cancer.</t>
  </si>
  <si>
    <t>FORMA THERA HOLDIN INC</t>
  </si>
  <si>
    <t>34633R</t>
  </si>
  <si>
    <t>FMTX</t>
  </si>
  <si>
    <t>Ticketmaster Online-CitySearch</t>
  </si>
  <si>
    <t>Online ticketing and city guide site; digital media/entertainment category.</t>
  </si>
  <si>
    <t>88633P</t>
  </si>
  <si>
    <t>TMCS</t>
  </si>
  <si>
    <t>USAI</t>
  </si>
  <si>
    <t>Eagle Geophysical Inc</t>
  </si>
  <si>
    <t>Provided seismic data services for oil and gas exploration.</t>
  </si>
  <si>
    <t>EAGLE GEOPHYSICAL INC</t>
  </si>
  <si>
    <t>EGEO</t>
  </si>
  <si>
    <t>EAGL10.</t>
  </si>
  <si>
    <t>SEI</t>
  </si>
  <si>
    <t>Financing for Science Intl Inc</t>
  </si>
  <si>
    <t>Focused on leasing medical equipment—healthcare equipment financing.</t>
  </si>
  <si>
    <t>FINANCING FOR SCIENCE INTL</t>
  </si>
  <si>
    <t>FFSI</t>
  </si>
  <si>
    <t>FFSI.1</t>
  </si>
  <si>
    <t>Nationstar Mortgage Hldg Inc</t>
  </si>
  <si>
    <t>Mortgage servicing company using digital platforms (Mr. Cooper).</t>
  </si>
  <si>
    <t>NATIONSTAR MORTGAGE HOLDINGS</t>
  </si>
  <si>
    <t>63861C</t>
  </si>
  <si>
    <t>NSM</t>
  </si>
  <si>
    <t>FIG</t>
  </si>
  <si>
    <t>CAIS Internet Inc</t>
  </si>
  <si>
    <t>Platform providing alternative investments to financial advisors.</t>
  </si>
  <si>
    <t>12476Q</t>
  </si>
  <si>
    <t>CAIS</t>
  </si>
  <si>
    <t>Atea Pharmaceuticals Inc</t>
  </si>
  <si>
    <t>Biopharma focused on antiviral drug development.</t>
  </si>
  <si>
    <t>ATEA PHARMACEUTICALS INC</t>
  </si>
  <si>
    <t>04683R</t>
  </si>
  <si>
    <t>AVIR</t>
  </si>
  <si>
    <t>Open Environment Corp</t>
  </si>
  <si>
    <t>Enterprise integration software, not finance-specific.</t>
  </si>
  <si>
    <t>OPEN ENVIRONMENT CORP</t>
  </si>
  <si>
    <t>OPEN.5</t>
  </si>
  <si>
    <t>First Sec Grp Inc</t>
  </si>
  <si>
    <t>Bank holding company with tech-enabled retail banking.</t>
  </si>
  <si>
    <t>FIRST SECURITY GROUP INC</t>
  </si>
  <si>
    <t>FSGI</t>
  </si>
  <si>
    <t>Vaxxinity Inc</t>
  </si>
  <si>
    <t>Develops vaccine-based therapeutics.</t>
  </si>
  <si>
    <t>VAXXINITY INC</t>
  </si>
  <si>
    <t>92244V</t>
  </si>
  <si>
    <t>VAXX</t>
  </si>
  <si>
    <t>Novadigm Inc</t>
  </si>
  <si>
    <t>Software distribution company, later acquired by HP.</t>
  </si>
  <si>
    <t>NOVADIGM INC</t>
  </si>
  <si>
    <t>NDI</t>
  </si>
  <si>
    <t>NVDM</t>
  </si>
  <si>
    <t>Greenway Medical Tech Inc</t>
  </si>
  <si>
    <t>Built EHR and clinical platforms—healthtech sector.</t>
  </si>
  <si>
    <t>GREENWAY MEDICAL TECH INC</t>
  </si>
  <si>
    <t>39679B</t>
  </si>
  <si>
    <t>GWAY</t>
  </si>
  <si>
    <t>GeoCities</t>
  </si>
  <si>
    <t>Web hosting platform, no financial focus.</t>
  </si>
  <si>
    <t>GEOCITIES INC</t>
  </si>
  <si>
    <t>37247V</t>
  </si>
  <si>
    <t>GCTY</t>
  </si>
  <si>
    <t>GCTY.1</t>
  </si>
  <si>
    <t>SilverStream Software Inc</t>
  </si>
  <si>
    <t>Enterprise web application builder used by financial firms.</t>
  </si>
  <si>
    <t>SILVERSTREAM SOFTWARE INC</t>
  </si>
  <si>
    <t>SSSW</t>
  </si>
  <si>
    <t>MicroStrategy Inc</t>
  </si>
  <si>
    <t>Analytics and BI platform widely used in fintech and banking.</t>
  </si>
  <si>
    <t>MICROSTRATEGY INC</t>
  </si>
  <si>
    <t>MSTR</t>
  </si>
  <si>
    <t>Cue Health Inc</t>
  </si>
  <si>
    <t xml:space="preserve">
Diagnostics company offering health test kits.
</t>
  </si>
  <si>
    <t>CUE HEALTH INC</t>
  </si>
  <si>
    <t>HLTH</t>
  </si>
  <si>
    <t>HLTHQ</t>
  </si>
  <si>
    <t>Tarsus Pharmaceuticals Inc</t>
  </si>
  <si>
    <t>Develops therapies for eye diseases.</t>
  </si>
  <si>
    <t>TARSUS PHARMACEUTI INC</t>
  </si>
  <si>
    <t>87650L</t>
  </si>
  <si>
    <t>TARS</t>
  </si>
  <si>
    <t>HomeGrocer.com</t>
  </si>
  <si>
    <t>Dot-com era online grocery delivery company.</t>
  </si>
  <si>
    <t>HOMEGROCER.COM INC</t>
  </si>
  <si>
    <t>43740K</t>
  </si>
  <si>
    <t>HOMG</t>
  </si>
  <si>
    <t>Chegg Inc</t>
  </si>
  <si>
    <t>Edtech company for learning and textbook rental.</t>
  </si>
  <si>
    <t>CHEGG INC</t>
  </si>
  <si>
    <t>CHGG</t>
  </si>
  <si>
    <t>Covad Communications Group Inc</t>
  </si>
  <si>
    <t>Provided broadband infrastructure used by digital finance firms.</t>
  </si>
  <si>
    <t>COVAD COMMUNICATIONS GROUP</t>
  </si>
  <si>
    <t>COVD</t>
  </si>
  <si>
    <t>DVW</t>
  </si>
  <si>
    <t>Deltek Inc</t>
  </si>
  <si>
    <t>Financial/project software used by finance-involved contractors.</t>
  </si>
  <si>
    <t>DELTEK INC</t>
  </si>
  <si>
    <t>24784L</t>
  </si>
  <si>
    <t>PROJ</t>
  </si>
  <si>
    <t>Data Processing Resources Corp</t>
  </si>
  <si>
    <t>IT systems services for enterprise finance functions.</t>
  </si>
  <si>
    <t>DATA PROCESSING RES CORP</t>
  </si>
  <si>
    <t>DPRC</t>
  </si>
  <si>
    <t>Coley Pharmaceutical Group Inc</t>
  </si>
  <si>
    <t>Immunotherapy-focused biotech acquired by Pfizer.</t>
  </si>
  <si>
    <t>COLEY PHARMACEUTICAL GROUP</t>
  </si>
  <si>
    <t>19388P</t>
  </si>
  <si>
    <t>COLY</t>
  </si>
  <si>
    <t>First International Bancorp</t>
  </si>
  <si>
    <t>International commercial banking with digital services.</t>
  </si>
  <si>
    <t>FIRST INTL BANCORP INC</t>
  </si>
  <si>
    <t>32054Q</t>
  </si>
  <si>
    <t>FNCE</t>
  </si>
  <si>
    <t>ExlService Holdings Inc</t>
  </si>
  <si>
    <t>Analytics and BPO for financial services and insurance.</t>
  </si>
  <si>
    <t>EXLSERVICE HOLDINGS INC</t>
  </si>
  <si>
    <t>EXLS</t>
  </si>
  <si>
    <t>MegaBank Financial Corp</t>
  </si>
  <si>
    <t>Community bank with fintech-enabled services.</t>
  </si>
  <si>
    <t>58515J</t>
  </si>
  <si>
    <t>MBFC</t>
  </si>
  <si>
    <t>General Acceptance</t>
  </si>
  <si>
    <t>Subprime auto finance firm with early digital underwriting.</t>
  </si>
  <si>
    <t>GENERAL ACCEPTANCE CORP</t>
  </si>
  <si>
    <t>GACC</t>
  </si>
  <si>
    <t>Symyx Technologies Inc</t>
  </si>
  <si>
    <t>Automated chemical discovery platform—science R&amp;D.</t>
  </si>
  <si>
    <t>SYMYX TECHNOLOGIES INC</t>
  </si>
  <si>
    <t>87155S</t>
  </si>
  <si>
    <t>SMMX</t>
  </si>
  <si>
    <t>Liquid Audio Inc</t>
  </si>
  <si>
    <t>Digital music distribution software company.</t>
  </si>
  <si>
    <t>53631T</t>
  </si>
  <si>
    <t>LQID</t>
  </si>
  <si>
    <t>Aridis Pharmaceuticals Inc</t>
  </si>
  <si>
    <t>Biotechnology company focused on anti-infective therapies.</t>
  </si>
  <si>
    <t>ARDS</t>
  </si>
  <si>
    <t>Breakaway Solutions Inc</t>
  </si>
  <si>
    <t>Cloud consulting and hosting provider for digital firms including fintech.</t>
  </si>
  <si>
    <t>BREAKAWAY SOLUTIONS INC</t>
  </si>
  <si>
    <t>BWAY</t>
  </si>
  <si>
    <t>BWAY.2</t>
  </si>
  <si>
    <t>Long Beach Financial Corp</t>
  </si>
  <si>
    <t>Subprime mortgage lender using automated decisioning.</t>
  </si>
  <si>
    <t>LONG BEACH FINANCIAL CORP</t>
  </si>
  <si>
    <t>LBFC</t>
  </si>
  <si>
    <t>Care.com Inc</t>
  </si>
  <si>
    <t xml:space="preserve">
Marketplace for caregiving services—not finance.</t>
  </si>
  <si>
    <t>CARE.COM INC</t>
  </si>
  <si>
    <t>CRCM</t>
  </si>
  <si>
    <t>TechTarget Inc</t>
  </si>
  <si>
    <t>Tech media and lead generation—not finance-specific.</t>
  </si>
  <si>
    <t>87874R</t>
  </si>
  <si>
    <t>TTGT</t>
  </si>
  <si>
    <t>Workgroup Technology Corp</t>
  </si>
  <si>
    <t>Product data management for manufacturing.</t>
  </si>
  <si>
    <t>WORKGROUP TECHNOLOGY CORP</t>
  </si>
  <si>
    <t>WKGP</t>
  </si>
  <si>
    <t>3WKGP</t>
  </si>
  <si>
    <t>Callidus Software Inc</t>
  </si>
  <si>
    <t>Developed compensation and finance modeling software for banks/insurers.</t>
  </si>
  <si>
    <t>CALLIDUS SOFTWARE INC</t>
  </si>
  <si>
    <t>13123E</t>
  </si>
  <si>
    <t>CALD</t>
  </si>
  <si>
    <t>DealerTrack Holdings Inc</t>
  </si>
  <si>
    <t>Digital auto financing and credit platform provider.</t>
  </si>
  <si>
    <t>DEALERTRACK TECHNOLOGIES INC</t>
  </si>
  <si>
    <t>TRAK</t>
  </si>
  <si>
    <t>TRAK.1</t>
  </si>
  <si>
    <t>Gateway Data Sciences Corp</t>
  </si>
  <si>
    <t>Retail-focused analytics software company.</t>
  </si>
  <si>
    <t>GATEWAY DATA SCIENCES CORP</t>
  </si>
  <si>
    <t>GDSC</t>
  </si>
  <si>
    <t>GDSCQ</t>
  </si>
  <si>
    <t>Metropolitan Bank Holding Corp</t>
  </si>
  <si>
    <t>Provides payment support services for fintechs.</t>
  </si>
  <si>
    <t>METROPOLITAN BANK HLDNG</t>
  </si>
  <si>
    <t>MCB</t>
  </si>
  <si>
    <t>Agency.com Ltd</t>
  </si>
  <si>
    <t>Digital marketing and consulting firm.</t>
  </si>
  <si>
    <t>ACOM</t>
  </si>
  <si>
    <t>Vocus Inc</t>
  </si>
  <si>
    <t>Marketing and PR software, not in the finance space.</t>
  </si>
  <si>
    <t>VOCUS INC</t>
  </si>
  <si>
    <t>92858J</t>
  </si>
  <si>
    <t>VOCS</t>
  </si>
  <si>
    <t>Metra Biosystems Inc</t>
  </si>
  <si>
    <t>Diagnostic tools for bone health—biotech.</t>
  </si>
  <si>
    <t>METRA BIOSYSTEMS INC</t>
  </si>
  <si>
    <t>MTRA</t>
  </si>
  <si>
    <t>Uproar Inc</t>
  </si>
  <si>
    <t>Web-based games and contests company.</t>
  </si>
  <si>
    <t>UPROAR INC</t>
  </si>
  <si>
    <t>UPRO</t>
  </si>
  <si>
    <t>UPRO.1</t>
  </si>
  <si>
    <t>May &amp; Speh Inc</t>
  </si>
  <si>
    <t>Customer data and analytics for credit and financial markets.</t>
  </si>
  <si>
    <t>MAY &amp; SPEH INC</t>
  </si>
  <si>
    <t>SPEH</t>
  </si>
  <si>
    <t>The Joint Corp</t>
  </si>
  <si>
    <t>Chiropractic care franchise chain.</t>
  </si>
  <si>
    <t>JOINT CORP (THE)</t>
  </si>
  <si>
    <t>47973J</t>
  </si>
  <si>
    <t>JYNT</t>
  </si>
  <si>
    <t>Connecture Inc</t>
  </si>
  <si>
    <t>Built insurance enrollment software bridging healthtech and fintech.</t>
  </si>
  <si>
    <t>CONNECTURE INC</t>
  </si>
  <si>
    <t>20786J</t>
  </si>
  <si>
    <t>CNXR</t>
  </si>
  <si>
    <t>Robocom Systems Inc</t>
  </si>
  <si>
    <t>Logistics and warehouse management software.</t>
  </si>
  <si>
    <t>RIMS</t>
  </si>
  <si>
    <t>GeoTel Communications Corp</t>
  </si>
  <si>
    <t>Telecom infrastructure intelligence, used by large-scale financial institutions.</t>
  </si>
  <si>
    <t>GEOTEL COMMUNICATIONS CORP</t>
  </si>
  <si>
    <t>GEOC</t>
  </si>
  <si>
    <t>Dermata Therapeutics Inc</t>
  </si>
  <si>
    <t>Biotech firm focused on dermatology.</t>
  </si>
  <si>
    <t>DRMA</t>
  </si>
  <si>
    <t>Interwoven Inc</t>
  </si>
  <si>
    <t>Content management system used in banking and financial services.</t>
  </si>
  <si>
    <t>INTERWOVEN INC</t>
  </si>
  <si>
    <t>46114T</t>
  </si>
  <si>
    <t>IWOV</t>
  </si>
  <si>
    <t>iPayment Inc</t>
  </si>
  <si>
    <t>Provided digital payment processing for small businesses.</t>
  </si>
  <si>
    <t>46262E</t>
  </si>
  <si>
    <t>IPMT</t>
  </si>
  <si>
    <t>Crusader Holding Corp,PA</t>
  </si>
  <si>
    <t>Bank holding company specializing in tech-enabled mortgage lending.</t>
  </si>
  <si>
    <t>CRUSADER HOLDING CORP</t>
  </si>
  <si>
    <t>CRSB</t>
  </si>
  <si>
    <t>CRSB.1</t>
  </si>
  <si>
    <t>USCS International Inc</t>
  </si>
  <si>
    <t>Billing and data software systems used in telecom and utilities, including finance.</t>
  </si>
  <si>
    <t>USCS INTL INC</t>
  </si>
  <si>
    <t>90330X</t>
  </si>
  <si>
    <t>USCS</t>
  </si>
  <si>
    <t>USCS.</t>
  </si>
  <si>
    <t>Mobius Management Systems Inc</t>
  </si>
  <si>
    <t>involved in enterprise content management and archiving, not financial technology.</t>
  </si>
  <si>
    <t>MOBIUS MGMT SYSTEMS INC</t>
  </si>
  <si>
    <t>0001025148</t>
  </si>
  <si>
    <t>606925</t>
  </si>
  <si>
    <t>MOBI</t>
  </si>
  <si>
    <t>MOBI.1</t>
  </si>
  <si>
    <t>1998-04-28</t>
  </si>
  <si>
    <t>Palomar Holdings Inc</t>
  </si>
  <si>
    <t>insurance holding company focused on specialty property insurance.</t>
  </si>
  <si>
    <t>PALOMAR HOLDINGS INC</t>
  </si>
  <si>
    <t>0001761312</t>
  </si>
  <si>
    <t>69753M</t>
  </si>
  <si>
    <t>PLMR</t>
  </si>
  <si>
    <t>2019-04-17</t>
  </si>
  <si>
    <t>Landos Biopharma Inc</t>
  </si>
  <si>
    <t>Landos Biopharma is a clinical-stage biopharmaceutical company focused on inflammatory and autoimmune diseases.</t>
  </si>
  <si>
    <t>LANDOS BIOPHARMA INC</t>
  </si>
  <si>
    <t>0001785345</t>
  </si>
  <si>
    <t>515069</t>
  </si>
  <si>
    <t>LABP</t>
  </si>
  <si>
    <t>2021-02-04</t>
  </si>
  <si>
    <t>Guidewire Software Inc</t>
  </si>
  <si>
    <t>Guidewire provides software products to property and casualty (P&amp;C) insurers, helping them manage core operations, which can include modernizing their financial processes.</t>
  </si>
  <si>
    <t>GUIDEWIRE SOFTWARE INC</t>
  </si>
  <si>
    <t>0001528396</t>
  </si>
  <si>
    <t>40171V</t>
  </si>
  <si>
    <t>GWRE</t>
  </si>
  <si>
    <t>2012-01-25</t>
  </si>
  <si>
    <t>ServiceWare Technologies Inc</t>
  </si>
  <si>
    <t>ServiceWare Technologies was a provider of knowledge management and customer service software.</t>
  </si>
  <si>
    <t>0001062606,0001062606</t>
  </si>
  <si>
    <t>81763Q</t>
  </si>
  <si>
    <t>SVCW</t>
  </si>
  <si>
    <t>OrthAlliance Inc</t>
  </si>
  <si>
    <t>OrthAlliance was a dental practice management company.</t>
  </si>
  <si>
    <t>ORTHALLIANCE INC  -CL A</t>
  </si>
  <si>
    <t>0001039139</t>
  </si>
  <si>
    <t>687913</t>
  </si>
  <si>
    <t>ORAL</t>
  </si>
  <si>
    <t>1997-08-21</t>
  </si>
  <si>
    <t>Loislaw.com Inc</t>
  </si>
  <si>
    <t>Loislaw.com was a legal information and technology provider.</t>
  </si>
  <si>
    <t>LOISLAW.COM INC</t>
  </si>
  <si>
    <t>0001088820</t>
  </si>
  <si>
    <t>541431</t>
  </si>
  <si>
    <t>LOIS</t>
  </si>
  <si>
    <t>1999-09-30</t>
  </si>
  <si>
    <t>LaBranche &amp; Co Inc</t>
  </si>
  <si>
    <t>LaBranche &amp; Co was a specialist firm on the New York Stock Exchange.</t>
  </si>
  <si>
    <t>LABRANCHE &amp; CO INC</t>
  </si>
  <si>
    <t>0001089044</t>
  </si>
  <si>
    <t>505447</t>
  </si>
  <si>
    <t>LAB</t>
  </si>
  <si>
    <t>LAB.1</t>
  </si>
  <si>
    <t>1999-08-19</t>
  </si>
  <si>
    <t>Renaissance Solutions Inc</t>
  </si>
  <si>
    <t>Renaissance Solutions was a management consulting firm.</t>
  </si>
  <si>
    <t>RENAISSANCE SOLUTIONS INC</t>
  </si>
  <si>
    <t>0000937948</t>
  </si>
  <si>
    <t>759924</t>
  </si>
  <si>
    <t>RENS</t>
  </si>
  <si>
    <t>RENS.</t>
  </si>
  <si>
    <t>1995-04-04</t>
  </si>
  <si>
    <t>Carolina National Corp</t>
  </si>
  <si>
    <t>This appears to be related to the Carolina Fintech Hub, which fosters collaboration and growth for fintech companies in the Carolinas.</t>
  </si>
  <si>
    <t>CAROLINA NATIONAL CORP</t>
  </si>
  <si>
    <t>0001157648</t>
  </si>
  <si>
    <t>144060</t>
  </si>
  <si>
    <t>CNCP</t>
  </si>
  <si>
    <t>2005-12-15</t>
  </si>
  <si>
    <t>Engineering Animation Inc</t>
  </si>
  <si>
    <t>software and services company focused on animation and visualization for various industries, including litigation support and manufacturing.</t>
  </si>
  <si>
    <t>ENGINEERING ANIMATION INC</t>
  </si>
  <si>
    <t>0001005270</t>
  </si>
  <si>
    <t>292872</t>
  </si>
  <si>
    <t>EAII</t>
  </si>
  <si>
    <t>1996-02-28</t>
  </si>
  <si>
    <t>Worldtalk Communications Corp</t>
  </si>
  <si>
    <t>Worldtalk Communications was involved in secure messaging and collaboration software.</t>
  </si>
  <si>
    <t>WORLDTALK COMMUNICATIONS CP</t>
  </si>
  <si>
    <t>0001008588</t>
  </si>
  <si>
    <t>98155G</t>
  </si>
  <si>
    <t>WTLK</t>
  </si>
  <si>
    <t>1996-04-12</t>
  </si>
  <si>
    <t>Trinity Capital Inc</t>
  </si>
  <si>
    <t>Trinity Capital is a leading provider of venture debt and equipment financing to growth-stage companies. While they finance companies, they are not a fintech company themselves.</t>
  </si>
  <si>
    <t>TRINITY CAPITAL INC</t>
  </si>
  <si>
    <t>0001786108</t>
  </si>
  <si>
    <t>896442</t>
  </si>
  <si>
    <t>TRIN</t>
  </si>
  <si>
    <t>Zscaler Inc</t>
  </si>
  <si>
    <t>Zscaler is a cloud security company providing zero trust security solutions.</t>
  </si>
  <si>
    <t>ZSCALER INC</t>
  </si>
  <si>
    <t>0001713683</t>
  </si>
  <si>
    <t>98980G</t>
  </si>
  <si>
    <t>ZS</t>
  </si>
  <si>
    <t>2018-03-16</t>
  </si>
  <si>
    <t>InterTrust Technologies Corp</t>
  </si>
  <si>
    <t>InterTrust Technologies focuses on trusted computing and digital rights management.</t>
  </si>
  <si>
    <t>INTERTRUST TECHNOLOGIES CORP</t>
  </si>
  <si>
    <t>0001089717,0001089717</t>
  </si>
  <si>
    <t>46113Q</t>
  </si>
  <si>
    <t>ITRU</t>
  </si>
  <si>
    <t>1999-10-27</t>
  </si>
  <si>
    <t>Enfusion Inc</t>
  </si>
  <si>
    <t>Enfusion provides a Software-as-a-Service (SaaS) investment management platform that offers cloud-based portfolio management and risk systems for financial services.</t>
  </si>
  <si>
    <t>ENFUSION INC</t>
  </si>
  <si>
    <t>0001868912</t>
  </si>
  <si>
    <t>292812</t>
  </si>
  <si>
    <t>ENFN</t>
  </si>
  <si>
    <t>2021-10-21</t>
  </si>
  <si>
    <t>Everquote Inc</t>
  </si>
  <si>
    <t>EverQuote operates an online insurance marketplace that uses technology to connect consumers with insurance providers.</t>
  </si>
  <si>
    <t>EVERQUOTE INC</t>
  </si>
  <si>
    <t>0001640428</t>
  </si>
  <si>
    <t>30041R</t>
  </si>
  <si>
    <t>EVER</t>
  </si>
  <si>
    <t>First Community Corp,SC</t>
  </si>
  <si>
    <t xml:space="preserve">First Community Corporation is a traditional bank holding company providing banking services.
</t>
  </si>
  <si>
    <t>FIRST COMMUNITY CORP/SC</t>
  </si>
  <si>
    <t>0000932781</t>
  </si>
  <si>
    <t>319835</t>
  </si>
  <si>
    <t>FCCO</t>
  </si>
  <si>
    <t>1998-07-07</t>
  </si>
  <si>
    <t>Theseus Pharmaceuticals Inc</t>
  </si>
  <si>
    <t>Theseus Pharmaceuticals was a biotechnology company focused on developing targeted cancer therapies.</t>
  </si>
  <si>
    <t>THESEUS PHARMACEUTICALS INC</t>
  </si>
  <si>
    <t>0001745020</t>
  </si>
  <si>
    <t>88369M</t>
  </si>
  <si>
    <t>THRX</t>
  </si>
  <si>
    <t>2021-10-07</t>
  </si>
  <si>
    <t>Goosehead Insurance Inc</t>
  </si>
  <si>
    <t>Goosehead Insurance is a rapidly growing independent insurance agency, not a technology provider in the financial space.</t>
  </si>
  <si>
    <t>GOOSEHEAD INSURANCE</t>
  </si>
  <si>
    <t>0001726978</t>
  </si>
  <si>
    <t>38267D</t>
  </si>
  <si>
    <t>GSHD</t>
  </si>
  <si>
    <t>2018-04-27</t>
  </si>
  <si>
    <t>Fortegra Financial Corp</t>
  </si>
  <si>
    <t>Fortegra Financial offers a variety of innovative insurance and reinsurance products, leveraging technology in its operations, including premium finance and policy/claim administration.</t>
  </si>
  <si>
    <t>FORTEGRA FINANCIAL CORP</t>
  </si>
  <si>
    <t>0001495925</t>
  </si>
  <si>
    <t>34954W</t>
  </si>
  <si>
    <t>FRF</t>
  </si>
  <si>
    <t>FRF.2</t>
  </si>
  <si>
    <t>2010-12-17</t>
  </si>
  <si>
    <t>INmune Bio Inc</t>
  </si>
  <si>
    <t>INmune Bio is a clinical-stage immunology company developing therapies for cancer and neurodegenerative diseases.</t>
  </si>
  <si>
    <t>INMUNE BIO INC</t>
  </si>
  <si>
    <t>0001711754</t>
  </si>
  <si>
    <t>45782T</t>
  </si>
  <si>
    <t>INMB</t>
  </si>
  <si>
    <t>2019-02-04</t>
  </si>
  <si>
    <t>Palo Alto Networks Inc</t>
  </si>
  <si>
    <t>Palo Alto Networks is a cybersecurity company.</t>
  </si>
  <si>
    <t>PALO ALTO NETWORKS INC</t>
  </si>
  <si>
    <t>0001327567</t>
  </si>
  <si>
    <t>697435</t>
  </si>
  <si>
    <t>PANW</t>
  </si>
  <si>
    <t>Headhunter.net Inc</t>
  </si>
  <si>
    <t>Headhunter.net was an online job recruiting platform.</t>
  </si>
  <si>
    <t>HEADHUNTER.NET INC</t>
  </si>
  <si>
    <t>0001065984</t>
  </si>
  <si>
    <t>422077</t>
  </si>
  <si>
    <t>HHNT</t>
  </si>
  <si>
    <t>HCW Biologics Inc</t>
  </si>
  <si>
    <t>HCW Biologics is a clinical-stage biopharmaceutical company.</t>
  </si>
  <si>
    <t>0001828673</t>
  </si>
  <si>
    <t>40423R</t>
  </si>
  <si>
    <t>HCWB</t>
  </si>
  <si>
    <t>MoneyGram Payment Systems Inc</t>
  </si>
  <si>
    <t>MoneyGram is a leading global provider of money transfer and payment services, utilizing technology to facilitate cross-border transactions.</t>
  </si>
  <si>
    <t>MONEYGRAM PAYMENT SYS INC</t>
  </si>
  <si>
    <t>0001005730</t>
  </si>
  <si>
    <t>608910</t>
  </si>
  <si>
    <t>MNE</t>
  </si>
  <si>
    <t>MNE.3</t>
  </si>
  <si>
    <t>FDC</t>
  </si>
  <si>
    <t>1996-12-11</t>
  </si>
  <si>
    <t>Evolent Health Inc</t>
  </si>
  <si>
    <t>Evolent Health focuses on health outcomes and solutions for complex conditions within the healthcare industry.</t>
  </si>
  <si>
    <t>EVOLENT HEALTH INC</t>
  </si>
  <si>
    <t>0001628908</t>
  </si>
  <si>
    <t>30050B</t>
  </si>
  <si>
    <t>EVH</t>
  </si>
  <si>
    <t>2015-06-05</t>
  </si>
  <si>
    <t>Documentum Inc</t>
  </si>
  <si>
    <t>Documentum, now part of OpenText, provides enterprise content management solutions, which are used by financial technology companies to manage vast quantities of documents and automate workflows</t>
  </si>
  <si>
    <t>DOCUMENTUM INC</t>
  </si>
  <si>
    <t>0000930885</t>
  </si>
  <si>
    <t>256159</t>
  </si>
  <si>
    <t>DCTM</t>
  </si>
  <si>
    <t>1996-02-05</t>
  </si>
  <si>
    <t>International Telecommun Data</t>
  </si>
  <si>
    <t>"Telecommun Data" suggests telecommunications, not necessarily fintech.</t>
  </si>
  <si>
    <t>INTL TELECOMM DATA SYSTM INC</t>
  </si>
  <si>
    <t>0000867889</t>
  </si>
  <si>
    <t>46047F</t>
  </si>
  <si>
    <t>ITDS</t>
  </si>
  <si>
    <t>ITDS.</t>
  </si>
  <si>
    <t>1996-10-24</t>
  </si>
  <si>
    <t>Ambrx Biopharma Inc</t>
  </si>
  <si>
    <t>Ambrx Biopharma is a clinical-stage biopharmaceutical company.</t>
  </si>
  <si>
    <t>0001990550</t>
  </si>
  <si>
    <t>02290A</t>
  </si>
  <si>
    <t>AMAM</t>
  </si>
  <si>
    <t>Network Solutions Inc</t>
  </si>
  <si>
    <t>Network Solutions is primarily known as a domain name registrar and web hosting company.</t>
  </si>
  <si>
    <t>NETWORK SOLUTIONS INC</t>
  </si>
  <si>
    <t>0001186448,0002060335,0001213876,0001160078,0001506264,0001094651,0001130888,0001680337,0001453393,0001030341,0001030341,0001977085,0001326176,0001121650,0001355606,0001205816,0001401369</t>
  </si>
  <si>
    <t>64121Q</t>
  </si>
  <si>
    <t>NSOL</t>
  </si>
  <si>
    <t>NSOL.</t>
  </si>
  <si>
    <t>SBM</t>
  </si>
  <si>
    <t>1997-09-26</t>
  </si>
  <si>
    <t>Blue Water Vaccines Inc</t>
  </si>
  <si>
    <t>Blue Water Vaccines is a biopharmaceutical company developing vaccines.</t>
  </si>
  <si>
    <t>0001782107</t>
  </si>
  <si>
    <t>09610B</t>
  </si>
  <si>
    <t>BWV</t>
  </si>
  <si>
    <t>Norrell Corp</t>
  </si>
  <si>
    <t>Norrell Corporation was a staffing services company.</t>
  </si>
  <si>
    <t>NORRELL CORP</t>
  </si>
  <si>
    <t>0000778397</t>
  </si>
  <si>
    <t>656301</t>
  </si>
  <si>
    <t>NORL</t>
  </si>
  <si>
    <t>NRL.1</t>
  </si>
  <si>
    <t>1994-07-26</t>
  </si>
  <si>
    <t>Crossroads Systems Inc</t>
  </si>
  <si>
    <t>Crossroads Systems was a provider of data archive solutions. While they mentioned "Fintech" in a "similar companies" list, their core business isn't fintech.</t>
  </si>
  <si>
    <t>0001093207</t>
  </si>
  <si>
    <t>22765D</t>
  </si>
  <si>
    <t>CRDS</t>
  </si>
  <si>
    <t>Transition Systems Inc</t>
  </si>
  <si>
    <t>Transition Systems Inc. was a company focused on IT solutions, often for various industries.</t>
  </si>
  <si>
    <t>TRANSITION SYSTEMS INC/MA</t>
  </si>
  <si>
    <t>0001009301</t>
  </si>
  <si>
    <t>893715</t>
  </si>
  <si>
    <t>TSIX</t>
  </si>
  <si>
    <t>TSIX.</t>
  </si>
  <si>
    <t>1996-04-18</t>
  </si>
  <si>
    <t>Press Ganey Holdings Inc</t>
  </si>
  <si>
    <t xml:space="preserve">Press Ganey provides patient experience and healthcare performance improvement solutions.
</t>
  </si>
  <si>
    <t>PRESS GANEY HOLDINGS INC</t>
  </si>
  <si>
    <t>0001633142</t>
  </si>
  <si>
    <t>74113L</t>
  </si>
  <si>
    <t>PGND</t>
  </si>
  <si>
    <t>2015-05-21</t>
  </si>
  <si>
    <t>NetScreen Technologies Inc</t>
  </si>
  <si>
    <t>NetScreen Technologies was a provider of security appliances.</t>
  </si>
  <si>
    <t>NETSCREEN TECHNOLOGIES INC</t>
  </si>
  <si>
    <t>0001088454</t>
  </si>
  <si>
    <t>64117V</t>
  </si>
  <si>
    <t>NSCN</t>
  </si>
  <si>
    <t>Catalyst International Inc</t>
  </si>
  <si>
    <t>Catalyst is a fintech firm that provides fund administration, corporate services, and client accounting services, utilizing technologies like robotic process automation and AI.</t>
  </si>
  <si>
    <t>CATALYST INTERNATIONAL INC</t>
  </si>
  <si>
    <t>0000915508</t>
  </si>
  <si>
    <t>14887T</t>
  </si>
  <si>
    <t>CLYS</t>
  </si>
  <si>
    <t>3CLYS</t>
  </si>
  <si>
    <t>1995-11-15</t>
  </si>
  <si>
    <t>Accolade Inc</t>
  </si>
  <si>
    <t>Accolade provides personalized and technology-enabled solutions to help people navigate the healthcare system and workplace benefits.</t>
  </si>
  <si>
    <t>ACCOLADE INC</t>
  </si>
  <si>
    <t>0001481646</t>
  </si>
  <si>
    <t>00437E</t>
  </si>
  <si>
    <t>ACCD</t>
  </si>
  <si>
    <t>2020-07-02</t>
  </si>
  <si>
    <t>SNB Bancshares Inc,TX</t>
  </si>
  <si>
    <t>SNB Bancshares is a traditional bank holding company.</t>
  </si>
  <si>
    <t>SNB BANCSHARES INC/TX</t>
  </si>
  <si>
    <t>0001293314</t>
  </si>
  <si>
    <t>78460M</t>
  </si>
  <si>
    <t>SNBT</t>
  </si>
  <si>
    <t>2004-08-18</t>
  </si>
  <si>
    <t>Citizens Financial Group Inc</t>
  </si>
  <si>
    <t>While they leverage technology, they are primarily a large, diversified financial services company (a bank) rather than a technology-first fintech firm.</t>
  </si>
  <si>
    <t>CITIZENS FINANCIAL GROUP INC</t>
  </si>
  <si>
    <t>0000759944</t>
  </si>
  <si>
    <t>174610</t>
  </si>
  <si>
    <t>CFG</t>
  </si>
  <si>
    <t>RBS</t>
  </si>
  <si>
    <t>2014-09-24</t>
  </si>
  <si>
    <t>Tower Financial Corporation</t>
  </si>
  <si>
    <t>Tower Financial Corporation is a traditional bank holding company.</t>
  </si>
  <si>
    <t>TOWER FINANCIAL CORP</t>
  </si>
  <si>
    <t>0001072847</t>
  </si>
  <si>
    <t>891769</t>
  </si>
  <si>
    <t>TOFC</t>
  </si>
  <si>
    <t>1999-01-28</t>
  </si>
  <si>
    <t>Gensym Corp</t>
  </si>
  <si>
    <t>Gensym Corp developed real-time expert systems and intelligent software.</t>
  </si>
  <si>
    <t>GENSYM CORP</t>
  </si>
  <si>
    <t>0001005387</t>
  </si>
  <si>
    <t>37245R</t>
  </si>
  <si>
    <t>GNSM</t>
  </si>
  <si>
    <t>1996-02-16</t>
  </si>
  <si>
    <t>Accredited Home Lenders Hldg</t>
  </si>
  <si>
    <t>Accredited Home Lenders Holding Co. was a mortgage company, primarily involved in originating non-prime mortgage loans.</t>
  </si>
  <si>
    <t>ACCREDITED HOME LENDERS HLDG</t>
  </si>
  <si>
    <t>0001174735</t>
  </si>
  <si>
    <t>00437P</t>
  </si>
  <si>
    <t>LEND.1</t>
  </si>
  <si>
    <t>Convergent Group Corp</t>
  </si>
  <si>
    <t>Convergent Financial Technologies provides fully integrated SaaS financial applications intended for the insurance and retirement solutions industry.</t>
  </si>
  <si>
    <t>CONVERGENT GROUP CORP</t>
  </si>
  <si>
    <t>0001094215</t>
  </si>
  <si>
    <t>21247V</t>
  </si>
  <si>
    <t>CVGP</t>
  </si>
  <si>
    <t>2000-08-01</t>
  </si>
  <si>
    <t>Trusted Information Systems</t>
  </si>
  <si>
    <t>Trusted Information Systems was a cybersecurity and information assurance company.</t>
  </si>
  <si>
    <t>TRUSTED INFORMATION SYS INC</t>
  </si>
  <si>
    <t>0001013355</t>
  </si>
  <si>
    <t>897908</t>
  </si>
  <si>
    <t>TISX</t>
  </si>
  <si>
    <t>1996-10-10</t>
  </si>
  <si>
    <t>First Mariner Bancorp,MD</t>
  </si>
  <si>
    <t>First Mariner Bancorp was a traditional community bank.</t>
  </si>
  <si>
    <t>FIRST MARINER BANCORP</t>
  </si>
  <si>
    <t>0000946090</t>
  </si>
  <si>
    <t>320795</t>
  </si>
  <si>
    <t>FMAR</t>
  </si>
  <si>
    <t>FMARQ</t>
  </si>
  <si>
    <t>1995-12-20</t>
  </si>
  <si>
    <t>Exodus Communications Inc</t>
  </si>
  <si>
    <t>Exodus Communications, now Exodus, is a self-custodial crypto wallet provider that enables users to buy cryptocurrencies directly within their wallets, collaborating with payment providers.</t>
  </si>
  <si>
    <t>EXODUS COMMUNICATIONS INC</t>
  </si>
  <si>
    <t>0001013740</t>
  </si>
  <si>
    <t>302088</t>
  </si>
  <si>
    <t>EXDS</t>
  </si>
  <si>
    <t>3EXDSQ</t>
  </si>
  <si>
    <t>1998-03-19</t>
  </si>
  <si>
    <t>Calico Commerce Inc</t>
  </si>
  <si>
    <t>Calico Commerce provided interactive selling software for various industries, including financial services, but their core offering wasn't exclusively fintech.</t>
  </si>
  <si>
    <t>CALICO COMMERCE INC</t>
  </si>
  <si>
    <t>0001081154</t>
  </si>
  <si>
    <t>129897</t>
  </si>
  <si>
    <t>CLIC</t>
  </si>
  <si>
    <t>1999-10-07</t>
  </si>
  <si>
    <t>Cooper &amp; Chyan Technology Inc</t>
  </si>
  <si>
    <t>Cooper &amp; Chyan Technology was involved in electronic design automation software for integrated circuits.</t>
  </si>
  <si>
    <t>COOPER &amp; CHYAN TECH INC</t>
  </si>
  <si>
    <t>0000849585</t>
  </si>
  <si>
    <t>216624</t>
  </si>
  <si>
    <t>CCTI</t>
  </si>
  <si>
    <t>CCTI.</t>
  </si>
  <si>
    <t>1995-10-31</t>
  </si>
  <si>
    <t>Coast Financial Holdings Inc</t>
  </si>
  <si>
    <t xml:space="preserve">Not a fintech company. Coast Financial Holdings was a bank holding company that operated traditional community banks.
</t>
  </si>
  <si>
    <t>COAST FINANCIAL HOLDINGS INC</t>
  </si>
  <si>
    <t>0001262276</t>
  </si>
  <si>
    <t>190354</t>
  </si>
  <si>
    <t>CFHI</t>
  </si>
  <si>
    <t>2003-11-06</t>
  </si>
  <si>
    <t>RightCHOICE Managed Care Inc</t>
  </si>
  <si>
    <t>RightCHOICE Managed Care was a managed healthcare organization.</t>
  </si>
  <si>
    <t>RIGHTCHOICE MGD CARE</t>
  </si>
  <si>
    <t>0001129825,0000921766,0001109802</t>
  </si>
  <si>
    <t>76657T</t>
  </si>
  <si>
    <t>RIT</t>
  </si>
  <si>
    <t>RIT.1</t>
  </si>
  <si>
    <t>1994-08-01</t>
  </si>
  <si>
    <t>Franklin Bank Corp,Houston,TX</t>
  </si>
  <si>
    <t>Franklin Bank Corp was a traditional bank holding company.</t>
  </si>
  <si>
    <t>FRANKLIN BANK CORP</t>
  </si>
  <si>
    <t>0001207070</t>
  </si>
  <si>
    <t>352451</t>
  </si>
  <si>
    <t>FBTX</t>
  </si>
  <si>
    <t>FBTXQ</t>
  </si>
  <si>
    <t>Millennial Media Inc</t>
  </si>
  <si>
    <t xml:space="preserve">Millennial Media was a mobile advertising technology company.
</t>
  </si>
  <si>
    <t>MILLENNIAL MEDIA INC</t>
  </si>
  <si>
    <t>0001372375</t>
  </si>
  <si>
    <t>60040N</t>
  </si>
  <si>
    <t>MM</t>
  </si>
  <si>
    <t>2012-03-29</t>
  </si>
  <si>
    <t>Luther Burbank Corp</t>
  </si>
  <si>
    <t>Luther Burbank Corp is a bank holding company for Luther Burbank Savings, a traditional bank.</t>
  </si>
  <si>
    <t>LUTHER BURBANK CORP</t>
  </si>
  <si>
    <t>0001475348</t>
  </si>
  <si>
    <t>550550</t>
  </si>
  <si>
    <t>LBC</t>
  </si>
  <si>
    <t>2017-12-08</t>
  </si>
  <si>
    <t>Euronet Services Inc</t>
  </si>
  <si>
    <t>Euronet Services provides electronic payment solutions, including ATM services, point-of-sale services, and money transfer services.</t>
  </si>
  <si>
    <t>EURONET WORLDWIDE INC</t>
  </si>
  <si>
    <t>0001029199</t>
  </si>
  <si>
    <t>298736</t>
  </si>
  <si>
    <t>EEFT</t>
  </si>
  <si>
    <t>1997-03-06</t>
  </si>
  <si>
    <t>Coupa Software Inc</t>
  </si>
  <si>
    <t>Coupa provides business spend management software, which can integrate with and optimize financial processes for various industries, including those in fintech.</t>
  </si>
  <si>
    <t>COUPA SOFTWARE INC</t>
  </si>
  <si>
    <t>0001385867</t>
  </si>
  <si>
    <t>22266L</t>
  </si>
  <si>
    <t>COUP</t>
  </si>
  <si>
    <t>2016-10-06</t>
  </si>
  <si>
    <t>Eagle Point Software Corp</t>
  </si>
  <si>
    <t>Eagle Point Software specializes in professional training and development software for the architectural, engineering, and construction industries.</t>
  </si>
  <si>
    <t>EAGLE POINT SOFTWARE CORP</t>
  </si>
  <si>
    <t>0000945066</t>
  </si>
  <si>
    <t>269824</t>
  </si>
  <si>
    <t>EGPT</t>
  </si>
  <si>
    <t>EGPT.1</t>
  </si>
  <si>
    <t>1995-06-15</t>
  </si>
  <si>
    <t>Alternative Resources Corp</t>
  </si>
  <si>
    <t>Alternative Resources Corp was a staffing and consulting firm, primarily in the IT sector.</t>
  </si>
  <si>
    <t>ALTERNATIVE RESOURCES CORP</t>
  </si>
  <si>
    <t>0000920521</t>
  </si>
  <si>
    <t>02145R</t>
  </si>
  <si>
    <t>ALRC</t>
  </si>
  <si>
    <t>3ALRC.</t>
  </si>
  <si>
    <t>1994-05-02</t>
  </si>
  <si>
    <t>GreenSky Inc</t>
  </si>
  <si>
    <t>GreenSky provides technology to banks and merchants for point-of-sale financing for consumers.</t>
  </si>
  <si>
    <t>GREENSKY INC</t>
  </si>
  <si>
    <t>0001712923</t>
  </si>
  <si>
    <t>39572G</t>
  </si>
  <si>
    <t>GSKY</t>
  </si>
  <si>
    <t>2018-05-24</t>
  </si>
  <si>
    <t>StanCorp Financial Group Inc</t>
  </si>
  <si>
    <t>StanCorp Financial Group was an insurance and financial services company that offered traditional insurance and retirement products.</t>
  </si>
  <si>
    <t>STANCORP FINANCIAL GROUP INC</t>
  </si>
  <si>
    <t>0001079577</t>
  </si>
  <si>
    <t>852891</t>
  </si>
  <si>
    <t>SFG</t>
  </si>
  <si>
    <t>1999-04-16</t>
  </si>
  <si>
    <t>BioAtla Inc</t>
  </si>
  <si>
    <t>BioAtla Inc is a clinical-stage biopharmaceutical company focused on developing antibody-drug conjugates.</t>
  </si>
  <si>
    <t>BIOATLA INC</t>
  </si>
  <si>
    <t>0001826892</t>
  </si>
  <si>
    <t>09077B</t>
  </si>
  <si>
    <t>BCAB</t>
  </si>
  <si>
    <t>2020-12-16</t>
  </si>
  <si>
    <t>Nelnet Inc</t>
  </si>
  <si>
    <t>Nelnet is a diversified financial services company that provides student loan servicing, technology solutions for higher education, and payment processing.</t>
  </si>
  <si>
    <t>NELNET INC</t>
  </si>
  <si>
    <t>0001258602,0001104048</t>
  </si>
  <si>
    <t>64031N</t>
  </si>
  <si>
    <t>NNI</t>
  </si>
  <si>
    <t>2003-12-11</t>
  </si>
  <si>
    <t>AXENT Technologies Inc</t>
  </si>
  <si>
    <t>AXENT Technologies was a cybersecurity software company.</t>
  </si>
  <si>
    <t>AXENT TECHNOLOGIES INC</t>
  </si>
  <si>
    <t>0001007997</t>
  </si>
  <si>
    <t>05459C</t>
  </si>
  <si>
    <t>AXNT</t>
  </si>
  <si>
    <t>AXNT.</t>
  </si>
  <si>
    <t>1996-04-23</t>
  </si>
  <si>
    <t>CRA Managed Care Inc</t>
  </si>
  <si>
    <t xml:space="preserve">CRA Managed Care provided managed care services, likely for workers' compensation or healthcare.
</t>
  </si>
  <si>
    <t>CRA MANAGED CARE INC</t>
  </si>
  <si>
    <t>0000942136</t>
  </si>
  <si>
    <t>126172</t>
  </si>
  <si>
    <t>CRAA</t>
  </si>
  <si>
    <t>1995-05-31</t>
  </si>
  <si>
    <t>Active Software Inc</t>
  </si>
  <si>
    <t>Active Software Inc was an enterprise application integration (EAI) software company.</t>
  </si>
  <si>
    <t>ACTIVE SOFTWARE INC</t>
  </si>
  <si>
    <t>0001088147,0001158632,0001436505,0000946581,0001268964</t>
  </si>
  <si>
    <t>00504E</t>
  </si>
  <si>
    <t>ASWX</t>
  </si>
  <si>
    <t>Sera Prognostics Inc</t>
  </si>
  <si>
    <t>Sera Prognostics is a women's health company focused on predicting preterm birth.</t>
  </si>
  <si>
    <t>SERA PROGNOSTICS INC</t>
  </si>
  <si>
    <t>0001534969</t>
  </si>
  <si>
    <t>81749D</t>
  </si>
  <si>
    <t>SERA</t>
  </si>
  <si>
    <t>2021-07-15</t>
  </si>
  <si>
    <t>Be Inc</t>
  </si>
  <si>
    <t>Be Inc. was a computer hardware and software company that developed the BeOS operating system.</t>
  </si>
  <si>
    <t>0001529620,0001729080,0000796343,0001846881,0001513330,0001094098,0001059272,0000895921,0001768228,0001374135,0001774971,0001168893,0001386445,0001086722,0001408016,0001554240,0001711697,0001990481,0001441265,0001890308,0001607576,0001175593,0000027031,0001850286,0001208208,0001208208,0000842807,0001507235,0001976348,0001192980,0001682643,0000820237,0001629536,0001423642,0000910500,0001806669,0001231380,0001285812,0001572106,0001608205,0001513329,0002001561,0001624796,0001178305,0001411440,0001411440,0001679262,0001309213,0001603724,0000808493,0001450933,0001750138,0001343800,0001387683,0001404315,0002040711,0001357307,0001940933,0001171897,0001169254,0001938745,0001275315,0001131111,0001162785,0001285452,0001285452,0000087050,0001515153,0001510341,0001729581,0001874008,0001644833,0001422812,0001065189,0001426660,0001524824,0001612573,0001874114,0001775966,0001058307,0001687465,0001348041,0000835904,0000929035,0002047280,0001394118,0001608050,0001643599,0001357265,0001901982,0002049674,0001046825,0001623424,0001582288,0001405701,0001574594,0001723381,0000821407,0001076235,0001101685,0001504321,0001504321,0001738816,0001343726,0001436198</t>
  </si>
  <si>
    <t>073309</t>
  </si>
  <si>
    <t>BEOS</t>
  </si>
  <si>
    <t>Eagle Finance Corp</t>
  </si>
  <si>
    <t>Eagle Finance Corp was a subprime auto lender.</t>
  </si>
  <si>
    <t>EAGLE FINANCE CORP</t>
  </si>
  <si>
    <t>0001161869,0001161868,0000921863</t>
  </si>
  <si>
    <t>26951K</t>
  </si>
  <si>
    <t>EFCW</t>
  </si>
  <si>
    <t>1994-07-21</t>
  </si>
  <si>
    <t>TScan Therapeutics Inc</t>
  </si>
  <si>
    <t>TScan Therapeutics is a biopharmaceutical company focused on T-cell receptor-engineered T cell therapies.</t>
  </si>
  <si>
    <t>TSCAN THERAPEUTICS INC</t>
  </si>
  <si>
    <t>0001783328</t>
  </si>
  <si>
    <t>89854M</t>
  </si>
  <si>
    <t>TCRX</t>
  </si>
  <si>
    <t>Preferred Employers Holdings</t>
  </si>
  <si>
    <t>Preferred Employers Holdings was a workers' compensation insurance company.</t>
  </si>
  <si>
    <t>PREFERRED EMPLOYERS HOLDINGS</t>
  </si>
  <si>
    <t>0001023695</t>
  </si>
  <si>
    <t>739908</t>
  </si>
  <si>
    <t>PEGI</t>
  </si>
  <si>
    <t>PEGI.1</t>
  </si>
  <si>
    <t>1997-02-05</t>
  </si>
  <si>
    <t>PrivateBancorp Inc</t>
  </si>
  <si>
    <t>PrivateBancorp Inc was a bank holding company providing traditional banking and wealth management services.</t>
  </si>
  <si>
    <t>PRIVATEBANCORP INC</t>
  </si>
  <si>
    <t>0000821127,0000889936,0000889936</t>
  </si>
  <si>
    <t>742962</t>
  </si>
  <si>
    <t>PVTB</t>
  </si>
  <si>
    <t>1999-06-30</t>
  </si>
  <si>
    <t>United Finl Mtg Corp,Illinois</t>
  </si>
  <si>
    <t>United Financial Mortgage Corp was a mortgage lending company.</t>
  </si>
  <si>
    <t>UNITED FINANCIAL MTG CORP</t>
  </si>
  <si>
    <t>0000916823</t>
  </si>
  <si>
    <t>910303</t>
  </si>
  <si>
    <t>UFMC</t>
  </si>
  <si>
    <t>1998-08-03</t>
  </si>
  <si>
    <t>MetLife Inc</t>
  </si>
  <si>
    <t>MetLife Inc is a large, traditional insurance and financial services company.</t>
  </si>
  <si>
    <t>METLIFE INC</t>
  </si>
  <si>
    <t>0001111726,0001099219</t>
  </si>
  <si>
    <t>59156R</t>
  </si>
  <si>
    <t>MET</t>
  </si>
  <si>
    <t>2000-04-05</t>
  </si>
  <si>
    <t>Cogent Inc</t>
  </si>
  <si>
    <t>Cogent Inc was a provider of fingerprint and biometric identification systems.</t>
  </si>
  <si>
    <t>COGENT INC</t>
  </si>
  <si>
    <t>0001289434</t>
  </si>
  <si>
    <t>19239Y</t>
  </si>
  <si>
    <t>COGT</t>
  </si>
  <si>
    <t>COGT.1</t>
  </si>
  <si>
    <t>2004-09-24</t>
  </si>
  <si>
    <t>Preview Systems Inc</t>
  </si>
  <si>
    <t>Preview Systems Inc provided digital rights management (DRM) and content protection solutions.</t>
  </si>
  <si>
    <t>PREVIEW SYSTEMS INC</t>
  </si>
  <si>
    <t>0001091271</t>
  </si>
  <si>
    <t>741379</t>
  </si>
  <si>
    <t>PRVW</t>
  </si>
  <si>
    <t>PRVWZ</t>
  </si>
  <si>
    <t>1999-12-08</t>
  </si>
  <si>
    <t>ZoomInfo Technologies Inc</t>
  </si>
  <si>
    <t>ZoomInfo Technologies provides a go-to-market intelligence platform for sales and marketing professionals.</t>
  </si>
  <si>
    <t>ZOOMINFO TECHNO INC</t>
  </si>
  <si>
    <t>0001794515</t>
  </si>
  <si>
    <t>98980F</t>
  </si>
  <si>
    <t>ZI</t>
  </si>
  <si>
    <t>GTM</t>
  </si>
  <si>
    <t>2020-06-04</t>
  </si>
  <si>
    <t>Zeta Global Holdings Corp</t>
  </si>
  <si>
    <t>Zeta Global Holdings Corp is a marketing technology company focused on customer acquisition and engagement.</t>
  </si>
  <si>
    <t>ZETA GLOBAL HOLDINGS CORP</t>
  </si>
  <si>
    <t>0001851003</t>
  </si>
  <si>
    <t>98956A</t>
  </si>
  <si>
    <t>ZETA</t>
  </si>
  <si>
    <t>2021-06-10</t>
  </si>
  <si>
    <t>Aligos Therapeutics Inc</t>
  </si>
  <si>
    <t>Aligos Therapeutics is a clinical-stage biopharmaceutical company developing antiviral therapies.</t>
  </si>
  <si>
    <t>0001799448</t>
  </si>
  <si>
    <t>01626L</t>
  </si>
  <si>
    <t>ALGS</t>
  </si>
  <si>
    <t>Omnicell Inc</t>
  </si>
  <si>
    <t>Omnicell Inc provides medication management and supply chain solutions for healthcare systems.</t>
  </si>
  <si>
    <t>OMNICELL INC</t>
  </si>
  <si>
    <t>0000926326,0000926326,0000926326</t>
  </si>
  <si>
    <t>68213N</t>
  </si>
  <si>
    <t>OMCL</t>
  </si>
  <si>
    <t>2001-08-07</t>
  </si>
  <si>
    <t>Amber Road Inc</t>
  </si>
  <si>
    <t>Amber Road Inc was a cloud-based global trade management (GTM) software provider.</t>
  </si>
  <si>
    <t>AMBER ROAD INC</t>
  </si>
  <si>
    <t>0001314223</t>
  </si>
  <si>
    <t>02318Y</t>
  </si>
  <si>
    <t>AMBR</t>
  </si>
  <si>
    <t>AMBR.2</t>
  </si>
  <si>
    <t>2014-03-21</t>
  </si>
  <si>
    <t>Harrington Financial Group Inc</t>
  </si>
  <si>
    <t>Harrington Financial Group likely provided traditional financial advisory or investment services.</t>
  </si>
  <si>
    <t>HARRINGTON FINL GROUP INC</t>
  </si>
  <si>
    <t>0000934203</t>
  </si>
  <si>
    <t>413801</t>
  </si>
  <si>
    <t>HFGI</t>
  </si>
  <si>
    <t>1996-05-06</t>
  </si>
  <si>
    <t>Trammell Crow Co</t>
  </si>
  <si>
    <t>Trammell Crow Co was a large commercial real estate developer and services company.</t>
  </si>
  <si>
    <t>TRAMMELL CROW CO</t>
  </si>
  <si>
    <t>0001022438,0001398576,0001398577,0001398407,0001404682,0001571597</t>
  </si>
  <si>
    <t>89288R</t>
  </si>
  <si>
    <t>TCC</t>
  </si>
  <si>
    <t>TCC.1</t>
  </si>
  <si>
    <t>1997-11-11</t>
  </si>
  <si>
    <t>Onyx Software Corp</t>
  </si>
  <si>
    <t>Onyx Software Corp developed customer relationship management (CRM) software, which can be integrated into financial services operations to manage client interactions.</t>
  </si>
  <si>
    <t>ONYX SOFTWARE CORP</t>
  </si>
  <si>
    <t>0001014383</t>
  </si>
  <si>
    <t>683402</t>
  </si>
  <si>
    <t>ONXS</t>
  </si>
  <si>
    <t>1999-02-12</t>
  </si>
  <si>
    <t>Cloudflare Inc</t>
  </si>
  <si>
    <t xml:space="preserve">Cloudflare provides web infrastructure and security services that are crucial for many online businesses, including fintech companies, to operate securely and efficiently.
</t>
  </si>
  <si>
    <t>CLOUDFLARE INC</t>
  </si>
  <si>
    <t>0001477333</t>
  </si>
  <si>
    <t>18915M</t>
  </si>
  <si>
    <t>NET</t>
  </si>
  <si>
    <t>2019-09-13</t>
  </si>
  <si>
    <t>Silverback Therapeutics Inc</t>
  </si>
  <si>
    <t>Silverback Therapeutics was a biopharmaceutical company focused on immunology.</t>
  </si>
  <si>
    <t>ARS PHARMACEUTICALS INC</t>
  </si>
  <si>
    <t>0001671858</t>
  </si>
  <si>
    <t>82835W</t>
  </si>
  <si>
    <t>SBTX</t>
  </si>
  <si>
    <t>SPRY</t>
  </si>
  <si>
    <t>2020-12-04</t>
  </si>
  <si>
    <t>ProCentury Corp</t>
  </si>
  <si>
    <t>ProCentury Corp was a property and casualty insurance company.</t>
  </si>
  <si>
    <t>PROCENTURY CORP</t>
  </si>
  <si>
    <t>0001273397</t>
  </si>
  <si>
    <t>74268T</t>
  </si>
  <si>
    <t>PROS</t>
  </si>
  <si>
    <t>PROS.1</t>
  </si>
  <si>
    <t>2004-04-21</t>
  </si>
  <si>
    <t>Zuora Inc</t>
  </si>
  <si>
    <t>Zuora provides subscription management software, which is essential for many modern fintech companies that operate on a subscription or recurring revenue model.</t>
  </si>
  <si>
    <t>ZUORA INC</t>
  </si>
  <si>
    <t>0001423774</t>
  </si>
  <si>
    <t>98983V</t>
  </si>
  <si>
    <t>ZUO</t>
  </si>
  <si>
    <t>2018-04-12</t>
  </si>
  <si>
    <t>Rackspace Technology Inc</t>
  </si>
  <si>
    <t xml:space="preserve">Rackspace provides managed cloud computing services, which are often utilized by fintech companies for their secure and scalable infrastructure needs.
</t>
  </si>
  <si>
    <t>RACKSPACE TECHNOLO INC</t>
  </si>
  <si>
    <t>0001810019</t>
  </si>
  <si>
    <t>750102</t>
  </si>
  <si>
    <t>RXT</t>
  </si>
  <si>
    <t>2020-08-05</t>
  </si>
  <si>
    <t>Asset Acceptance Capital Corp</t>
  </si>
  <si>
    <t>Asset Acceptance Capital Corp was a purchaser and collector of defaulted consumer debt.</t>
  </si>
  <si>
    <t>ASSET ACCEPTANCE CAPITL CP</t>
  </si>
  <si>
    <t>0001264707</t>
  </si>
  <si>
    <t>04543P</t>
  </si>
  <si>
    <t>AACC</t>
  </si>
  <si>
    <t>National Med Health Card Sys</t>
  </si>
  <si>
    <t>This appears to be a company related to healthcare benefit cards or discount programs, not financial technology.</t>
  </si>
  <si>
    <t>NATIONAL MED HEALTH CARD SYS</t>
  </si>
  <si>
    <t>0000813562</t>
  </si>
  <si>
    <t>636918</t>
  </si>
  <si>
    <t>NMHC</t>
  </si>
  <si>
    <t>1999-07-28</t>
  </si>
  <si>
    <t>NerdWallet Inc</t>
  </si>
  <si>
    <t>NerdWallet is a personal finance website and app that provides financial advice, product comparisons, and tools to help consumers make financial decisions.</t>
  </si>
  <si>
    <t>NERDWALLET INC</t>
  </si>
  <si>
    <t>0001625278</t>
  </si>
  <si>
    <t>64082B</t>
  </si>
  <si>
    <t>NRDS</t>
  </si>
  <si>
    <t>2021-11-04</t>
  </si>
  <si>
    <t>Silknet Software Inc</t>
  </si>
  <si>
    <t>Silknet Software Inc developed e-business software for customer service and sales automation.</t>
  </si>
  <si>
    <t>SILKNET SOFTWARE INC</t>
  </si>
  <si>
    <t>0001079451</t>
  </si>
  <si>
    <t>827094</t>
  </si>
  <si>
    <t>SILK</t>
  </si>
  <si>
    <t>SILK.1</t>
  </si>
  <si>
    <t>1999-05-05</t>
  </si>
  <si>
    <t>CTPartners Executive Search</t>
  </si>
  <si>
    <t>CTPartners Executive Search was an executive search and leadership consulting firm.</t>
  </si>
  <si>
    <t>CTPARTNERS EXEC SEARCH INC</t>
  </si>
  <si>
    <t>0001439199,0001439199</t>
  </si>
  <si>
    <t>22945C</t>
  </si>
  <si>
    <t>CTP</t>
  </si>
  <si>
    <t>CTPR</t>
  </si>
  <si>
    <t>2010-12-08</t>
  </si>
  <si>
    <t>AppNet Systems Inc</t>
  </si>
  <si>
    <t>AppNet Systems Inc was an internet professional services firm.</t>
  </si>
  <si>
    <t>APPNET INC</t>
  </si>
  <si>
    <t>0001066197</t>
  </si>
  <si>
    <t>03831Q</t>
  </si>
  <si>
    <t>APNT</t>
  </si>
  <si>
    <t>APNT.1</t>
  </si>
  <si>
    <t>1999-06-18</t>
  </si>
  <si>
    <t>Covisint Corp</t>
  </si>
  <si>
    <t>Covisint Corp provided cloud-based collaboration and identity management solutions, primarily for the automotive industry.</t>
  </si>
  <si>
    <t>COVISINT CORP</t>
  </si>
  <si>
    <t>0001563699</t>
  </si>
  <si>
    <t>22357R</t>
  </si>
  <si>
    <t>COVS</t>
  </si>
  <si>
    <t>CPWR</t>
  </si>
  <si>
    <t>First Merchants Acceptance</t>
  </si>
  <si>
    <t>First Merchants Acceptance was likely a financial services company focused on loan origination or collections, but not a technology-driven fintech.</t>
  </si>
  <si>
    <t>0000926296</t>
  </si>
  <si>
    <t>320816</t>
  </si>
  <si>
    <t>FMAC</t>
  </si>
  <si>
    <t>Provantage Health Services</t>
  </si>
  <si>
    <t>Provantage Health Services appears to be a company in the healthcare or pharmacy benefits management sector.</t>
  </si>
  <si>
    <t>PROVANTAGE HEALTH SVCS INC</t>
  </si>
  <si>
    <t>0001072471</t>
  </si>
  <si>
    <t>743725</t>
  </si>
  <si>
    <t>PHS</t>
  </si>
  <si>
    <t>PHS.1</t>
  </si>
  <si>
    <t>SKO</t>
  </si>
  <si>
    <t>1999-07-14</t>
  </si>
  <si>
    <t>PROLOGIC Management Systems</t>
  </si>
  <si>
    <t>PROLOGIC Management Systems typically provides enterprise resource planning (ERP) or business management software for various industries, not specifically fintech.</t>
  </si>
  <si>
    <t>PROLOGIC MANAGEMENT SYS INC</t>
  </si>
  <si>
    <t>0000938320</t>
  </si>
  <si>
    <t>743406</t>
  </si>
  <si>
    <t>PRLO</t>
  </si>
  <si>
    <t>1996-03-14</t>
  </si>
  <si>
    <t>Invest Tech Grp Inc</t>
  </si>
  <si>
    <t xml:space="preserve">Invest Tech Grp Inc appears to be an investment holding company, not a technology provider in the financial space.
</t>
  </si>
  <si>
    <t>INVESTMENT TECHNOLOGY GP INC</t>
  </si>
  <si>
    <t>0000920424</t>
  </si>
  <si>
    <t>46145F</t>
  </si>
  <si>
    <t>ITG</t>
  </si>
  <si>
    <t>1994-05-04</t>
  </si>
  <si>
    <t>Republic Bancorp Inc</t>
  </si>
  <si>
    <t>This is a traditional bank holding company. While banks increasingly use technology, their core business model is traditional banking, not technology-driven financial innovation.</t>
  </si>
  <si>
    <t>REPUBLIC BANCORP INC/KY</t>
  </si>
  <si>
    <t>0000230119,0000351077,0000770975,0000834285,0000813808,0000921557</t>
  </si>
  <si>
    <t>760281</t>
  </si>
  <si>
    <t>RBCAA</t>
  </si>
  <si>
    <t>1998-07-22</t>
  </si>
  <si>
    <t>Analogy Inc</t>
  </si>
  <si>
    <t>It's not inherently financial technology. If they provide tech services to financial institutions, they would "support fintech."</t>
  </si>
  <si>
    <t>0000893573</t>
  </si>
  <si>
    <t>032659</t>
  </si>
  <si>
    <t>ANLG</t>
  </si>
  <si>
    <t>Continuus Software Corp</t>
  </si>
  <si>
    <t>ontinuus Software was a company focused on software configuration management. This is a general IT function, not specific to financial technology.</t>
  </si>
  <si>
    <t>CONTINUUS SOFTWARE CORP</t>
  </si>
  <si>
    <t>0001048044</t>
  </si>
  <si>
    <t>21218R</t>
  </si>
  <si>
    <t>CNSW</t>
  </si>
  <si>
    <t>Penn Millers Holding Corp</t>
  </si>
  <si>
    <t>This is an insurance holding company. While insurtech is a growing area, a traditional insurance holding company itself is not typically classified as a fintech.</t>
  </si>
  <si>
    <t>PENN MILLERS HOLDING CORP</t>
  </si>
  <si>
    <t>0001453820</t>
  </si>
  <si>
    <t>707561</t>
  </si>
  <si>
    <t>PMIC</t>
  </si>
  <si>
    <t>2009-10-19</t>
  </si>
  <si>
    <t>Travelers Ppty Casualty Corp</t>
  </si>
  <si>
    <t>This is a property and casualty insurance company. Similar to Penn Millers, it's a traditional insurance business.</t>
  </si>
  <si>
    <t>0000919482</t>
  </si>
  <si>
    <t>89420G</t>
  </si>
  <si>
    <t>TAP.A</t>
  </si>
  <si>
    <t>C</t>
  </si>
  <si>
    <t>Neopath Inc</t>
  </si>
  <si>
    <t>Neopath Inc. was a medical device company. Clearly not related to financial technology.</t>
  </si>
  <si>
    <t>NEOPATH INC</t>
  </si>
  <si>
    <t>0000851729</t>
  </si>
  <si>
    <t>640517</t>
  </si>
  <si>
    <t>NPTH</t>
  </si>
  <si>
    <t>NPTH.1</t>
  </si>
  <si>
    <t>1995-01-26</t>
  </si>
  <si>
    <t>Ladder Capital Corp</t>
  </si>
  <si>
    <t>Ladder Capital is a commercial real estate finance company. While they operate in finance, their core business is real estate lending and investment, not technology-driven financial services.</t>
  </si>
  <si>
    <t>LADDER CAPITAL CORP</t>
  </si>
  <si>
    <t>0001577670</t>
  </si>
  <si>
    <t>505743</t>
  </si>
  <si>
    <t>LADR</t>
  </si>
  <si>
    <t>2014-02-06</t>
  </si>
  <si>
    <t>Zosano Pharma Corp</t>
  </si>
  <si>
    <t xml:space="preserve">Zosano Pharma was a biopharmaceutical company. Not related to financial technology.
</t>
  </si>
  <si>
    <t>ZOSANO PHARMA CORP</t>
  </si>
  <si>
    <t>0001587221</t>
  </si>
  <si>
    <t>98979H</t>
  </si>
  <si>
    <t>ZSAN</t>
  </si>
  <si>
    <t>ZSANQ</t>
  </si>
  <si>
    <t>2015-01-27</t>
  </si>
  <si>
    <t>Nutanix Inc</t>
  </si>
  <si>
    <t>Nutanix provides cloud software and hyperconverged infrastructure. Many fintech companies rely on scalable, secure cloud infrastructure, so Nutanix would be a key enabler.</t>
  </si>
  <si>
    <t>NUTANIX INC</t>
  </si>
  <si>
    <t>0001618732</t>
  </si>
  <si>
    <t>67059N</t>
  </si>
  <si>
    <t>NTNX</t>
  </si>
  <si>
    <t>2016-09-30</t>
  </si>
  <si>
    <t>Salary.com Inc</t>
  </si>
  <si>
    <t>Salary.com is a compensation data and software company. While it deals with financial data related to salaries, its primary function isn't financial transactions or investments. It's more HR tech.</t>
  </si>
  <si>
    <t>SALARY.COM INC</t>
  </si>
  <si>
    <t>0001105360,0001105360,0001105360</t>
  </si>
  <si>
    <t>794006</t>
  </si>
  <si>
    <t>SLRY</t>
  </si>
  <si>
    <t>2007-02-15</t>
  </si>
  <si>
    <t>Prime Bancshares Inc,Texas</t>
  </si>
  <si>
    <t>This is a traditional bank holding company, similar to Republic Bancorp Inc.</t>
  </si>
  <si>
    <t>PRIME BANCSHARES INC/TX</t>
  </si>
  <si>
    <t>0000849803</t>
  </si>
  <si>
    <t>74157H</t>
  </si>
  <si>
    <t>PBTX</t>
  </si>
  <si>
    <t>Intelliquest Information Group</t>
  </si>
  <si>
    <t>Intelliquest was an market research company. Not related to financial technology.</t>
  </si>
  <si>
    <t>INTELLIQUEST INFORMATION GRP</t>
  </si>
  <si>
    <t>0001007083</t>
  </si>
  <si>
    <t>45816H</t>
  </si>
  <si>
    <t>IQST.1</t>
  </si>
  <si>
    <t>1996-03-22</t>
  </si>
  <si>
    <t>Design Therapeutics Inc</t>
  </si>
  <si>
    <t>Design Therapeutics is a biotechnology company. Not related to financial technology.</t>
  </si>
  <si>
    <t>DESIGN THERAPEUTIS INC</t>
  </si>
  <si>
    <t>0001807120</t>
  </si>
  <si>
    <t>25056L</t>
  </si>
  <si>
    <t>DSGN</t>
  </si>
  <si>
    <t>2021-03-26</t>
  </si>
  <si>
    <t>XLConnect Solutions Inc</t>
  </si>
  <si>
    <t>services include software development, integration, or consulting for financial institutions, they would support fintech.</t>
  </si>
  <si>
    <t>XLCONNECT SOLUTIONS INC</t>
  </si>
  <si>
    <t>0001018525</t>
  </si>
  <si>
    <t>983946</t>
  </si>
  <si>
    <t>XLCT</t>
  </si>
  <si>
    <t>INEL</t>
  </si>
  <si>
    <t>1996-10-17</t>
  </si>
  <si>
    <t>RemedyTemp Inc</t>
  </si>
  <si>
    <t>RemedyTemp was a temporary staffing agency. Not related to financial technology.</t>
  </si>
  <si>
    <t>REMEDYTEMP INC  -CL A</t>
  </si>
  <si>
    <t>0001013467</t>
  </si>
  <si>
    <t>759549</t>
  </si>
  <si>
    <t>REMX</t>
  </si>
  <si>
    <t>REMX.1</t>
  </si>
  <si>
    <t>1996-07-11</t>
  </si>
  <si>
    <t>optionsXpress Holdings Inc</t>
  </si>
  <si>
    <t>optionsXpress was an online brokerage firm. Online trading platforms that use technology to facilitate financial transactions are a direct example of fintech.</t>
  </si>
  <si>
    <t>OPTIONSXPRESS HOLDINGS INC</t>
  </si>
  <si>
    <t>0001299688</t>
  </si>
  <si>
    <t>684010</t>
  </si>
  <si>
    <t>OXPS</t>
  </si>
  <si>
    <t>2005-01-27</t>
  </si>
  <si>
    <t>Opus360 Corp</t>
  </si>
  <si>
    <t>Opus360 was a company providing workforce management software. This is HR/business software, not specifically financial technology.</t>
  </si>
  <si>
    <t>0001099674</t>
  </si>
  <si>
    <t>68400F</t>
  </si>
  <si>
    <t>OPUS</t>
  </si>
  <si>
    <t>Acumen Pharmaceuticals Inc</t>
  </si>
  <si>
    <t>Acumen Pharmaceuticals is a biopharmaceutical company. Not related to financial technology.</t>
  </si>
  <si>
    <t>ACUMEN PHARMACEUTICALS INC</t>
  </si>
  <si>
    <t>0001576885</t>
  </si>
  <si>
    <t>00509G</t>
  </si>
  <si>
    <t>ABOS</t>
  </si>
  <si>
    <t>Akamai Technologies Inc</t>
  </si>
  <si>
    <t>Akamai provides content delivery network (CDN) services and cybersecurity. Fintech companies, especially those with high online traffic and sensitive data, rely heavily on such services for performance and security.</t>
  </si>
  <si>
    <t>AKAMAI TECHNOLOGIES INC</t>
  </si>
  <si>
    <t>0001086222,0001398575</t>
  </si>
  <si>
    <t>00971T</t>
  </si>
  <si>
    <t>AKAM</t>
  </si>
  <si>
    <t>1999-10-29</t>
  </si>
  <si>
    <t>Capella Education Co</t>
  </si>
  <si>
    <t>Capella Education Company was an online higher education provider. Not related to financial technology.</t>
  </si>
  <si>
    <t>CAPELLA EDUCATION CO</t>
  </si>
  <si>
    <t>0001104349</t>
  </si>
  <si>
    <t>139594</t>
  </si>
  <si>
    <t>CPLA</t>
  </si>
  <si>
    <t>2006-11-10</t>
  </si>
  <si>
    <t>Condor Technology Solutions</t>
  </si>
  <si>
    <t>Similar to XLConnect Solutions, a "technology solutions" company could provide IT infrastructure, software development, or consulting services that enable fintech operations.</t>
  </si>
  <si>
    <t>0001042799</t>
  </si>
  <si>
    <t>206772</t>
  </si>
  <si>
    <t>CNDR</t>
  </si>
  <si>
    <t>Danvers Bancorp Inc,MA</t>
  </si>
  <si>
    <t>This is a traditional bank holding company.</t>
  </si>
  <si>
    <t>DANVERS BANCORP INC</t>
  </si>
  <si>
    <t>0001410703</t>
  </si>
  <si>
    <t>236442</t>
  </si>
  <si>
    <t>DNBK</t>
  </si>
  <si>
    <t>2008-01-10</t>
  </si>
  <si>
    <t>Atlantic Data Services Inc</t>
  </si>
  <si>
    <t>Companies providing data services, especially those related to data processing, analytics, or security, can support fintech companies that rely heavily on data.</t>
  </si>
  <si>
    <t>0001052773</t>
  </si>
  <si>
    <t>048523</t>
  </si>
  <si>
    <t>ADSC</t>
  </si>
  <si>
    <t>DigitalOcean Holdings Inc</t>
  </si>
  <si>
    <t>DigitalOcean provides cloud infrastructure for developers. Many fintech startups and companies build their applications on cloud platforms like DigitalOcean.</t>
  </si>
  <si>
    <t>DIGITALOCEAN HOLDINGS INC</t>
  </si>
  <si>
    <t>0001582961</t>
  </si>
  <si>
    <t>25402D</t>
  </si>
  <si>
    <t>DOCN</t>
  </si>
  <si>
    <t>2021-03-24</t>
  </si>
  <si>
    <t>Pacific Mercantile Bancorp</t>
  </si>
  <si>
    <t>PACIFIC MERCANTILE BANCORP</t>
  </si>
  <si>
    <t>0001109546</t>
  </si>
  <si>
    <t>694552</t>
  </si>
  <si>
    <t>PMBC</t>
  </si>
  <si>
    <t>1999-12-29</t>
  </si>
  <si>
    <t>American Well Corp</t>
  </si>
  <si>
    <t>American Well (now Amwell) is a telehealth company. Not related to financial technology.</t>
  </si>
  <si>
    <t>0001393584</t>
  </si>
  <si>
    <t>03044L</t>
  </si>
  <si>
    <t>AMWL</t>
  </si>
  <si>
    <t>RCS Capital Corp</t>
  </si>
  <si>
    <t>RCS Capital was a financial services company focused on wholesale distribution and investment banking. While in finance, its core model was traditional financial services, not technology innovation within finance.</t>
  </si>
  <si>
    <t>RCS CAPITAL CORP</t>
  </si>
  <si>
    <t>0001568832</t>
  </si>
  <si>
    <t>74937W</t>
  </si>
  <si>
    <t>RCAP</t>
  </si>
  <si>
    <t>RCAPQ</t>
  </si>
  <si>
    <t>2013-06-05</t>
  </si>
  <si>
    <t>Investors Capital Holdings Ltd</t>
  </si>
  <si>
    <t>This was a financial services company with a focus on brokerage and advisory services. While it deals with investments, it's more of a traditional financial services firm than a fintech.</t>
  </si>
  <si>
    <t>INVESTORS CAPITAL HLDGS LTD</t>
  </si>
  <si>
    <t>0001001871,0001319301</t>
  </si>
  <si>
    <t>46147M</t>
  </si>
  <si>
    <t>ICH</t>
  </si>
  <si>
    <t>2001-02-08</t>
  </si>
  <si>
    <t>Netscape Communications Corp</t>
  </si>
  <si>
    <t>Netscape was primarily an internet browser and early web technology company. While foundational to the internet that fintech relies on, it wasn't a fintech company itself.</t>
  </si>
  <si>
    <t>NETSCAPE COMMUNICATIONS CORP</t>
  </si>
  <si>
    <t>0000944458</t>
  </si>
  <si>
    <t>641149</t>
  </si>
  <si>
    <t>NSCP</t>
  </si>
  <si>
    <t>1995-08-08</t>
  </si>
  <si>
    <t>OneSource Information Services</t>
  </si>
  <si>
    <t>OneSource provides business information and data. Financial institutions and fintech companies often use such data for market analysis, lead generation, and due diligence.</t>
  </si>
  <si>
    <t>ONESOURCE INFORMATION SVCS</t>
  </si>
  <si>
    <t>0001079880</t>
  </si>
  <si>
    <t>68272J</t>
  </si>
  <si>
    <t>ONES</t>
  </si>
  <si>
    <t>1999-05-19</t>
  </si>
  <si>
    <t>HPL Technologies Inc</t>
  </si>
  <si>
    <t>HPL Technologies was a semiconductor equipment company. Not related to financial technology.</t>
  </si>
  <si>
    <t>HPL TECHNOLOGIES INC</t>
  </si>
  <si>
    <t>0001121980</t>
  </si>
  <si>
    <t>40426C</t>
  </si>
  <si>
    <t>HPLA</t>
  </si>
  <si>
    <t>3HPLA</t>
  </si>
  <si>
    <t>Motorsport Gaming Us Llc</t>
  </si>
  <si>
    <t>This sounds like a company in the gaming or entertainment industry. Not related to financial technology.</t>
  </si>
  <si>
    <t>MOTORSPORT GAMES INC</t>
  </si>
  <si>
    <t>0001821175</t>
  </si>
  <si>
    <t>62011B</t>
  </si>
  <si>
    <t>MSGM</t>
  </si>
  <si>
    <t>NETE</t>
  </si>
  <si>
    <t>2021-01-13</t>
  </si>
  <si>
    <t>Hamilton Bancorp Inc</t>
  </si>
  <si>
    <t>HAMILTON BANCORP INC/MD</t>
  </si>
  <si>
    <t>407015</t>
  </si>
  <si>
    <t>HBK</t>
  </si>
  <si>
    <t>2012-10-10</t>
  </si>
  <si>
    <t>Health Systems Design Corp</t>
  </si>
  <si>
    <t>his sounds like a healthcare IT company. Not related to financial technology.</t>
  </si>
  <si>
    <t>HEALTH SYSTEMS DESIGN CORP</t>
  </si>
  <si>
    <t>0001005697</t>
  </si>
  <si>
    <t>421964</t>
  </si>
  <si>
    <t>HSDC</t>
  </si>
  <si>
    <t>1996-03-05</t>
  </si>
  <si>
    <t>Wink Communications Inc</t>
  </si>
  <si>
    <t>Wink Communications was involved in interactive television technology. Not related to financial technology.</t>
  </si>
  <si>
    <t>WINK COMMUNICATIONS INC</t>
  </si>
  <si>
    <t>0001062157</t>
  </si>
  <si>
    <t>974168</t>
  </si>
  <si>
    <t>WINK</t>
  </si>
  <si>
    <t>1999-08-18</t>
  </si>
  <si>
    <t>Rogue Wave Software Inc</t>
  </si>
  <si>
    <t>Rogue Wave Software provided developer tools and components. Many fintech companies use such tools to build and accelerate their software development.</t>
  </si>
  <si>
    <t>ROGUE WAVE SOFTWARE INC</t>
  </si>
  <si>
    <t>0001023184</t>
  </si>
  <si>
    <t>775369</t>
  </si>
  <si>
    <t>RWAV</t>
  </si>
  <si>
    <t>1996-11-21</t>
  </si>
  <si>
    <t>ICF International Inc</t>
  </si>
  <si>
    <t>ICF is a consulting and technology services company. If they provide consulting or IT services to financial institutions or fintechs, they would be supporting fintech.</t>
  </si>
  <si>
    <t>ICF INTERNATIONAL INC</t>
  </si>
  <si>
    <t>0001362004</t>
  </si>
  <si>
    <t>44925C</t>
  </si>
  <si>
    <t>ICFI</t>
  </si>
  <si>
    <t>KGHI</t>
  </si>
  <si>
    <t>2006-09-28</t>
  </si>
  <si>
    <t>Instructure Hldg Inc</t>
  </si>
  <si>
    <t>Instructure is an educational technology company. Not related to financial technology.</t>
  </si>
  <si>
    <t>INSTRUCTURE HOLDINGS INC</t>
  </si>
  <si>
    <t>0001841804</t>
  </si>
  <si>
    <t>457790</t>
  </si>
  <si>
    <t>INST</t>
  </si>
  <si>
    <t>2021-07-22</t>
  </si>
  <si>
    <t>PokerTek Inc</t>
  </si>
  <si>
    <t>PokerTek manufactured electronic poker tables. Not related to financial technology.</t>
  </si>
  <si>
    <t>POKERTEK INC</t>
  </si>
  <si>
    <t>0001302177,0001302177</t>
  </si>
  <si>
    <t>730864</t>
  </si>
  <si>
    <t>PTEK</t>
  </si>
  <si>
    <t>2005-10-14</t>
  </si>
  <si>
    <t>TNS Inc</t>
  </si>
  <si>
    <t>TNS (Transaction Network Services) provides data communications and interoperability solutions. Many financial transactions rely on secure and efficient networks, so TNS would support fintech infrastructure.</t>
  </si>
  <si>
    <t>TNS INC</t>
  </si>
  <si>
    <t>0001465117,0001268671</t>
  </si>
  <si>
    <t>872960</t>
  </si>
  <si>
    <t>TNS</t>
  </si>
  <si>
    <t>2004-03-16</t>
  </si>
  <si>
    <t>Salesforce.com Inc</t>
  </si>
  <si>
    <t>Salesforce provides cloud-based CRM software. Many fintech companies use Salesforce to manage customer relationships, sales, and service, thus supporting their operations.</t>
  </si>
  <si>
    <t>SALESFORCE INC</t>
  </si>
  <si>
    <t>0001108524,0001108524</t>
  </si>
  <si>
    <t>79466L</t>
  </si>
  <si>
    <t>CRM</t>
  </si>
  <si>
    <t>2004-06-23</t>
  </si>
  <si>
    <t>PowerSchool Holdings Inc</t>
  </si>
  <si>
    <t>PowerSchool provides education technology solutions. Not related to financial technology.</t>
  </si>
  <si>
    <t>POWERSCHOOL HOLDINGS INC</t>
  </si>
  <si>
    <t>0001835681</t>
  </si>
  <si>
    <t>73939C</t>
  </si>
  <si>
    <t>PWSC</t>
  </si>
  <si>
    <t>2021-07-28</t>
  </si>
  <si>
    <t>Hoth Therapeutics Inc</t>
  </si>
  <si>
    <t>Hoth Therapeutics is a biopharmaceutical company. Not related to financial technology.</t>
  </si>
  <si>
    <t>HOTH THERAPEUTICS INC</t>
  </si>
  <si>
    <t>0001711786</t>
  </si>
  <si>
    <t>44148G</t>
  </si>
  <si>
    <t>HOTH</t>
  </si>
  <si>
    <t>2019-02-15</t>
  </si>
  <si>
    <t>First NBC Bank Holding Co</t>
  </si>
  <si>
    <t>FIRST NBC BANK HOLDING CO</t>
  </si>
  <si>
    <t>0001496631</t>
  </si>
  <si>
    <t>32115D</t>
  </si>
  <si>
    <t>NBCB</t>
  </si>
  <si>
    <t>FNBCQ</t>
  </si>
  <si>
    <t>2013-05-10</t>
  </si>
  <si>
    <t>Daou Systems Inc</t>
  </si>
  <si>
    <t>Daou Systems was an IT consulting firm primarily focused on healthcare. Not directly fintech.</t>
  </si>
  <si>
    <t>DAOU SYSTEMS INC</t>
  </si>
  <si>
    <t>0001003989</t>
  </si>
  <si>
    <t>237015</t>
  </si>
  <si>
    <t>DAOU</t>
  </si>
  <si>
    <t>3DAOU</t>
  </si>
  <si>
    <t>Central Plains Bancshares Inc</t>
  </si>
  <si>
    <t>This is a traditional bank holding company</t>
  </si>
  <si>
    <t>CENTRAL PLAINS BANCSHARS INC</t>
  </si>
  <si>
    <t>0001979332</t>
  </si>
  <si>
    <t>15486W</t>
  </si>
  <si>
    <t>CPBI</t>
  </si>
  <si>
    <t>2023-10-20</t>
  </si>
  <si>
    <t>AlphaSmart Inc</t>
  </si>
  <si>
    <t>AlphaSmart manufactured portable keyboards and other educational technology. Not related to financial technology.</t>
  </si>
  <si>
    <t>ALPHASMART INC</t>
  </si>
  <si>
    <t>0001264388</t>
  </si>
  <si>
    <t>02081F</t>
  </si>
  <si>
    <t>ALSM</t>
  </si>
  <si>
    <t>2004-02-06</t>
  </si>
  <si>
    <t>Hewitt Associates LLC</t>
  </si>
  <si>
    <t>Hewitt Associates was a human resources consulting and outsourcing company. While it dealt with payroll and benefits (financial aspects), its core was HR, not financial technology.</t>
  </si>
  <si>
    <t>HEWITT ASSOCIATES INC</t>
  </si>
  <si>
    <t>0000885617,0000885617</t>
  </si>
  <si>
    <t>42822Q</t>
  </si>
  <si>
    <t>HEW</t>
  </si>
  <si>
    <t>Washington Banking Co</t>
  </si>
  <si>
    <t>WASHINGTON BANKING CO</t>
  </si>
  <si>
    <t>0001058690</t>
  </si>
  <si>
    <t>937303</t>
  </si>
  <si>
    <t>WBCO</t>
  </si>
  <si>
    <t>1998-06-23</t>
  </si>
  <si>
    <t>Odyssey Re Holdings Corp</t>
  </si>
  <si>
    <t>Odyssey Re Holdings was a reinsurance company. Similar to other insurance companies listed, it's a traditional financial service, not fintech.</t>
  </si>
  <si>
    <t>ODYSSEY RE HOLDINGS CORP</t>
  </si>
  <si>
    <t>0001137048</t>
  </si>
  <si>
    <t>67612W</t>
  </si>
  <si>
    <t>ORH</t>
  </si>
  <si>
    <t>Cavion Technologies Inc</t>
  </si>
  <si>
    <t>general tech company, not necessarily financial. If they provide technology to financial institutions, they could "support fintech."</t>
  </si>
  <si>
    <t>CAVION TECHNOLOGIES INC</t>
  </si>
  <si>
    <t>0001081938</t>
  </si>
  <si>
    <t>149649</t>
  </si>
  <si>
    <t>CAVN</t>
  </si>
  <si>
    <t>CVTE</t>
  </si>
  <si>
    <t>Medallia Inc</t>
  </si>
  <si>
    <t>Medallia provides experience management software. While not a fintech company directly handling financial transactions, financial institutions use Medallia to understand customer and employee experiences, which is crucial for improving digital banking, customer service, and overall financial product delivery.</t>
  </si>
  <si>
    <t>MEDALLIA INC</t>
  </si>
  <si>
    <t>0001540184</t>
  </si>
  <si>
    <t>584021</t>
  </si>
  <si>
    <t>MDLA</t>
  </si>
  <si>
    <t>2019-07-19</t>
  </si>
  <si>
    <t>Paycom Software Inc</t>
  </si>
  <si>
    <t xml:space="preserve">Paycom offers cloud-based human capital management (HCM) software, including payroll services. While they handle financial aspects like payroll, their core is HR software, which supports the operational efficiency of businesses, including those in finance.
</t>
  </si>
  <si>
    <t>PAYCOM SOFTWARE INC</t>
  </si>
  <si>
    <t>0001590955</t>
  </si>
  <si>
    <t>70432V</t>
  </si>
  <si>
    <t>PAYC</t>
  </si>
  <si>
    <t>2014-04-15</t>
  </si>
  <si>
    <t>iManage Inc</t>
  </si>
  <si>
    <t>iManage provides document and email management software, often used for legal and compliance purposes. Financial institutions, with their heavy regulatory burdens and need for secure document handling, would use such software to support their operations.</t>
  </si>
  <si>
    <t>IMANAGE INC</t>
  </si>
  <si>
    <t>0001093242</t>
  </si>
  <si>
    <t>45245Y</t>
  </si>
  <si>
    <t>IMAN</t>
  </si>
  <si>
    <t>1999-11-17</t>
  </si>
  <si>
    <t>onlinetradinginc.com</t>
  </si>
  <si>
    <t>The name itself strongly suggests an online trading platform. Online trading platforms that enable users to buy and sell financial instruments are a direct form of fintech.</t>
  </si>
  <si>
    <t>ONLINETRADINGINC.COM INC</t>
  </si>
  <si>
    <t>0001082690</t>
  </si>
  <si>
    <t>68273D</t>
  </si>
  <si>
    <t>LINE</t>
  </si>
  <si>
    <t>LINE.1</t>
  </si>
  <si>
    <t>1999-06-11</t>
  </si>
  <si>
    <t>Judge Group Inc</t>
  </si>
  <si>
    <t>The Judge Group is a professional services firm offering consulting, staffing, and technology solutions. They provide services across various industries, including financial services. Therefore, they would support fintech companies by providing talent or consulting expertise.</t>
  </si>
  <si>
    <t>JUDGE GROUP INC</t>
  </si>
  <si>
    <t>0001022893</t>
  </si>
  <si>
    <t>481271</t>
  </si>
  <si>
    <t>JUDG</t>
  </si>
  <si>
    <t>1997-02-14</t>
  </si>
  <si>
    <t>Alabama Natl BanCorp,AL</t>
  </si>
  <si>
    <t>This is a traditional bank holding company. Their primary business is traditional banking services, not technology-driven financial innovation.</t>
  </si>
  <si>
    <t>0000926966</t>
  </si>
  <si>
    <t>010317</t>
  </si>
  <si>
    <t>ALAB</t>
  </si>
  <si>
    <t>Zengine Inc</t>
  </si>
  <si>
    <t>general software or business solutions company. It's not inherently financial technology.</t>
  </si>
  <si>
    <t>ZENGINE INC</t>
  </si>
  <si>
    <t>0001555890,0001097119</t>
  </si>
  <si>
    <t>98935C</t>
  </si>
  <si>
    <t>ZNGN</t>
  </si>
  <si>
    <t>MCSI</t>
  </si>
  <si>
    <t>2000-09-21</t>
  </si>
  <si>
    <t>Cysive Inc</t>
  </si>
  <si>
    <t>Cysive was a software and services company focused on internet and mobile applications, but not specifically in the financial sector.</t>
  </si>
  <si>
    <t>CYSIVE INC</t>
  </si>
  <si>
    <t>0001093193</t>
  </si>
  <si>
    <t>23281T</t>
  </si>
  <si>
    <t>CYSV</t>
  </si>
  <si>
    <t>KBK Capital Corp</t>
  </si>
  <si>
    <t>"Capital Corp" usually indicates a firm involved in investments, financing, or asset management, which are traditional financial services rather than technology-driven fintech.</t>
  </si>
  <si>
    <t>KBK CAPITAL CORP</t>
  </si>
  <si>
    <t>0000921559</t>
  </si>
  <si>
    <t>482412</t>
  </si>
  <si>
    <t>KBK</t>
  </si>
  <si>
    <t>KBKC</t>
  </si>
  <si>
    <t>1994-06-08</t>
  </si>
  <si>
    <t>Complete Management Inc</t>
  </si>
  <si>
    <t>This sounds like a general management or consulting firm, possibly for businesses or property. Not related to financial technology.</t>
  </si>
  <si>
    <t>COMPLETE MANAGEMENT INC</t>
  </si>
  <si>
    <t>0001002063</t>
  </si>
  <si>
    <t>20452C</t>
  </si>
  <si>
    <t>CMI</t>
  </si>
  <si>
    <t>CPMI</t>
  </si>
  <si>
    <t>1995-12-27</t>
  </si>
  <si>
    <t>La Rosa Holdings Corp</t>
  </si>
  <si>
    <t>La Rosa Holdings is typically associated with real estate brokerage. While real estate can involve financial transactions, the company itself is not primarily a fintech.</t>
  </si>
  <si>
    <t>LA ROSA HOLDINGS CORP</t>
  </si>
  <si>
    <t>0001879403</t>
  </si>
  <si>
    <t>50172T</t>
  </si>
  <si>
    <t>LRHC</t>
  </si>
  <si>
    <t>2023-10-10</t>
  </si>
  <si>
    <t>Aames Investment Corp</t>
  </si>
  <si>
    <t>Aames Investment Corp was a mortgage lender. Mortgage lending is a traditional financial service.</t>
  </si>
  <si>
    <t>AAMES INVESTMENT CORP</t>
  </si>
  <si>
    <t>0001282552</t>
  </si>
  <si>
    <t>00253G</t>
  </si>
  <si>
    <t>AIC</t>
  </si>
  <si>
    <t>AIC.3</t>
  </si>
  <si>
    <t>1991-12-03</t>
  </si>
  <si>
    <t>HealthWorld Corp</t>
  </si>
  <si>
    <t>HealthWorld Corp was a non-profit focused on health and safety education. Not related to financial technology.</t>
  </si>
  <si>
    <t>HEALTHWORLD CORP</t>
  </si>
  <si>
    <t>0001044993</t>
  </si>
  <si>
    <t>42222E</t>
  </si>
  <si>
    <t>HWLD</t>
  </si>
  <si>
    <t>1997-11-21</t>
  </si>
  <si>
    <t>Mortgage.com Inc</t>
  </si>
  <si>
    <t>The name clearly indicates an online mortgage platform. Companies that use technology to streamline and facilitate the mortgage application, approval, and servicing process are considered fintech.</t>
  </si>
  <si>
    <t>MORTGAGE.COM INC</t>
  </si>
  <si>
    <t>0001128949,0001081182</t>
  </si>
  <si>
    <t>61910V</t>
  </si>
  <si>
    <t>MDCM</t>
  </si>
  <si>
    <t>1999-08-11</t>
  </si>
  <si>
    <t>FBL Financial Group Inc</t>
  </si>
  <si>
    <t>FBL Financial Group is primarily an insurance company. While insurtech is emerging, FBL's core business is traditional insurance.</t>
  </si>
  <si>
    <t>FBL FINANCIAL GROUP INC-CL A</t>
  </si>
  <si>
    <t>0001012771</t>
  </si>
  <si>
    <t>30239F</t>
  </si>
  <si>
    <t>FFG</t>
  </si>
  <si>
    <t>1996-07-19</t>
  </si>
  <si>
    <t>Prism Financial,Chicago,IL</t>
  </si>
  <si>
    <t>Prism Financial, with offices in Chicago, IL, is a financial advisory firm that offers financial planning and investment advice, rather than being a fintech brand itself.</t>
  </si>
  <si>
    <t>PRISM FINANCIAL CORP</t>
  </si>
  <si>
    <t>74264Q</t>
  </si>
  <si>
    <t>PRFN</t>
  </si>
  <si>
    <t>PRFN.1</t>
  </si>
  <si>
    <t>Ragen MacKenzie Group Inc</t>
  </si>
  <si>
    <t>Ragen MacKenzie Group was an investment banking and brokerage firm. This is a traditional financial service.</t>
  </si>
  <si>
    <t>RAGEN MACKENZIE GROUP INC</t>
  </si>
  <si>
    <t>0001020950</t>
  </si>
  <si>
    <t>750642</t>
  </si>
  <si>
    <t>RMG</t>
  </si>
  <si>
    <t>RMG.1</t>
  </si>
  <si>
    <t>Exa Corp</t>
  </si>
  <si>
    <t>Exa Corp provided simulation software, primarily for engineering and product design. Not related to financial technology.</t>
  </si>
  <si>
    <t>EXA CORP</t>
  </si>
  <si>
    <t>0000890264,0000821113,0001713689,0001114714</t>
  </si>
  <si>
    <t>300614</t>
  </si>
  <si>
    <t>EXA</t>
  </si>
  <si>
    <t>2012-06-28</t>
  </si>
  <si>
    <t>Beverly Bancorp,Tinley Park,IL</t>
  </si>
  <si>
    <t>0000011913</t>
  </si>
  <si>
    <t>087830</t>
  </si>
  <si>
    <t>BEVB</t>
  </si>
  <si>
    <t>MetroCity Bankshares Inc</t>
  </si>
  <si>
    <t>METROCITY BANKSHARES INC</t>
  </si>
  <si>
    <t>0001747068</t>
  </si>
  <si>
    <t>59165J</t>
  </si>
  <si>
    <t>MCBS</t>
  </si>
  <si>
    <t>LINC Group Inc</t>
  </si>
  <si>
    <t>It is a provider of integrated facilities management services, including technical building services, HVAC, and electrical solutions.</t>
  </si>
  <si>
    <t>LINC CAPITAL INC</t>
  </si>
  <si>
    <t>0001749819,0000936094</t>
  </si>
  <si>
    <t>501942</t>
  </si>
  <si>
    <t>LNCC</t>
  </si>
  <si>
    <t>1997-11-06</t>
  </si>
  <si>
    <t>RiboGene Inc</t>
  </si>
  <si>
    <t>RiboGene Inc. was a biotechnology company. Not related to financial technology.</t>
  </si>
  <si>
    <t>RIBOGENE INC</t>
  </si>
  <si>
    <t>0000924654</t>
  </si>
  <si>
    <t>762565</t>
  </si>
  <si>
    <t>RBO</t>
  </si>
  <si>
    <t>1998-05-21</t>
  </si>
  <si>
    <t>Datto Holding Corp</t>
  </si>
  <si>
    <t>Datto provides data backup, disaster recovery, and cybersecurity solutions for businesses, including managed service providers (MSPs). Fintech companies require robust data protection and cybersecurity, making Datto a supporting technology.</t>
  </si>
  <si>
    <t>DATTO HOLDING CORP</t>
  </si>
  <si>
    <t>0001724570</t>
  </si>
  <si>
    <t>23821D</t>
  </si>
  <si>
    <t>MSP</t>
  </si>
  <si>
    <t>2020-10-21</t>
  </si>
  <si>
    <t>Caminus Corp</t>
  </si>
  <si>
    <t>Caminus Corp provided software and strategic consulting services for energy trading, transaction processing, and risk management. While focused on energy, the software for trading and risk management could be applied or adapted to general financial markets.</t>
  </si>
  <si>
    <t>CAMINUS CORP</t>
  </si>
  <si>
    <t>0001095157,0001574533</t>
  </si>
  <si>
    <t>133766</t>
  </si>
  <si>
    <t>CAMZ</t>
  </si>
  <si>
    <t>2000-01-28</t>
  </si>
  <si>
    <t>Sprout Social Inc</t>
  </si>
  <si>
    <t>Sprout Social provides social media management and analytics software. While financial companies use social media, Sprout Social's core business is not financial technology.</t>
  </si>
  <si>
    <t>SPROUT SOCIAL INC</t>
  </si>
  <si>
    <t>0001517375</t>
  </si>
  <si>
    <t>85209W</t>
  </si>
  <si>
    <t>SPT</t>
  </si>
  <si>
    <t>2019-12-13</t>
  </si>
  <si>
    <t>Lycos Inc</t>
  </si>
  <si>
    <t>Lycos was an early internet search engine and web portal. Not related to financial technology.</t>
  </si>
  <si>
    <t>LYCOS INC</t>
  </si>
  <si>
    <t>0001007992</t>
  </si>
  <si>
    <t>550818</t>
  </si>
  <si>
    <t>LCOS</t>
  </si>
  <si>
    <t>LCOS.</t>
  </si>
  <si>
    <t>1996-04-01</t>
  </si>
  <si>
    <t>Epizyme Inc</t>
  </si>
  <si>
    <t>Epizyme Inc. is a biopharmaceutical company. Not related to financial technology.</t>
  </si>
  <si>
    <t>EPIZYME INC</t>
  </si>
  <si>
    <t>0001571498</t>
  </si>
  <si>
    <t>29428V</t>
  </si>
  <si>
    <t>EPZM</t>
  </si>
  <si>
    <t>2013-05-31</t>
  </si>
  <si>
    <t>United Insurance Holdings Corp</t>
  </si>
  <si>
    <t>This is an insurance holding company. While insurtech is growing, this specific company is a traditional insurer. (Note: There is a "United Fintech" but this company is "United Insurance Holdings Corp").</t>
  </si>
  <si>
    <t>AMERICAN COASTAL INSURA CORP</t>
  </si>
  <si>
    <t>0001401521</t>
  </si>
  <si>
    <t>910710</t>
  </si>
  <si>
    <t>UIHC</t>
  </si>
  <si>
    <t>ACIC</t>
  </si>
  <si>
    <t>Arcellx Inc</t>
  </si>
  <si>
    <t>Arcellx Inc. is a biotechnology company. Not related to financial technology.</t>
  </si>
  <si>
    <t>ARCELLX INC</t>
  </si>
  <si>
    <t>0001786205</t>
  </si>
  <si>
    <t>03940C</t>
  </si>
  <si>
    <t>ACLX</t>
  </si>
  <si>
    <t>2022-02-04</t>
  </si>
  <si>
    <t>Twitter Inc</t>
  </si>
  <si>
    <t>While primarily a social media platform, Twitter (now X) has been exploring payment features ("X Money"). Historically, it was not fintech, but its future direction could involve fintech elements. For now, its core is social media.</t>
  </si>
  <si>
    <t>TWITTER INC</t>
  </si>
  <si>
    <t>0001418091,0001418091</t>
  </si>
  <si>
    <t>90184L</t>
  </si>
  <si>
    <t>TWTR</t>
  </si>
  <si>
    <t>2013-11-07</t>
  </si>
  <si>
    <t>MasterGraphics Inc</t>
  </si>
  <si>
    <t>MasterGraphics sounds like a company involved in graphic design, printing, or possibly technical drawing. Not related to financial technology.</t>
  </si>
  <si>
    <t>MASTER GRAPHICS INC</t>
  </si>
  <si>
    <t>0001059363</t>
  </si>
  <si>
    <t>576346</t>
  </si>
  <si>
    <t>MAGR</t>
  </si>
  <si>
    <t>3MAGRQ</t>
  </si>
  <si>
    <t>1998-06-09</t>
  </si>
  <si>
    <t>Homeservices Com Inc</t>
  </si>
  <si>
    <t>Homeservices.com Inc. is typically associated with real estate services. While real estate involves finance, the company itself is not primarily a fintech.</t>
  </si>
  <si>
    <t>HOMESERVICES.COM INC</t>
  </si>
  <si>
    <t>0001090445</t>
  </si>
  <si>
    <t>437606</t>
  </si>
  <si>
    <t>HMSV</t>
  </si>
  <si>
    <t>HMSV.</t>
  </si>
  <si>
    <t>1999-10-08</t>
  </si>
  <si>
    <t>American Equity Investment</t>
  </si>
  <si>
    <t>American Equity Investment Life Holding Company is an insurance company focused on annuities. This is a traditional financial service.</t>
  </si>
  <si>
    <t>0001008826,0001008826,0001039828</t>
  </si>
  <si>
    <t>025676</t>
  </si>
  <si>
    <t>AEL</t>
  </si>
  <si>
    <t>Pyxis Oncology Inc</t>
  </si>
  <si>
    <t>Pyxis Oncology Inc. is a biotechnology company. Not related to financial technology.</t>
  </si>
  <si>
    <t>PYXIS ONCOLOGY INC</t>
  </si>
  <si>
    <t>0001782223</t>
  </si>
  <si>
    <t>747324</t>
  </si>
  <si>
    <t>PYXO</t>
  </si>
  <si>
    <t>PYXS</t>
  </si>
  <si>
    <t>2021-10-08</t>
  </si>
  <si>
    <t>Cardinal Financial Corp</t>
  </si>
  <si>
    <t>CARDINAL FINANCIAL CORP</t>
  </si>
  <si>
    <t>0001060523</t>
  </si>
  <si>
    <t>14149F</t>
  </si>
  <si>
    <t>CFNL</t>
  </si>
  <si>
    <t>1998-07-17</t>
  </si>
  <si>
    <t>Avert Inc</t>
  </si>
  <si>
    <t>Avert Inc. is a provider of pre-employment screening services. Not related to financial technology.</t>
  </si>
  <si>
    <t>0000920909</t>
  </si>
  <si>
    <t>053596</t>
  </si>
  <si>
    <t>AVRT</t>
  </si>
  <si>
    <t>Silver Spring Networks Inc</t>
  </si>
  <si>
    <t>Silver Spring Networks provided networking platforms for smart energy grids. Not related to financial technology.</t>
  </si>
  <si>
    <t>SILVER SPRING NETWORKS INC</t>
  </si>
  <si>
    <t>0001180079</t>
  </si>
  <si>
    <t>82817Q</t>
  </si>
  <si>
    <t>SSNI</t>
  </si>
  <si>
    <t>2013-03-13</t>
  </si>
  <si>
    <t>Inference Corp</t>
  </si>
  <si>
    <t>Inference Corp was a company focused on expert systems and AI, but not specifically in the financial domain.</t>
  </si>
  <si>
    <t>INFERENCE CORP  -CL A</t>
  </si>
  <si>
    <t>0000945446</t>
  </si>
  <si>
    <t>45662K</t>
  </si>
  <si>
    <t>INFR</t>
  </si>
  <si>
    <t>INFR.1</t>
  </si>
  <si>
    <t>1995-06-29</t>
  </si>
  <si>
    <t>Medialink Worldwide Inc</t>
  </si>
  <si>
    <t>Medialink Worldwide Inc. was a media communications and content distribution company. Not related to financial technology.</t>
  </si>
  <si>
    <t>MEDIALINK WORLDWIDE INC</t>
  </si>
  <si>
    <t>0000812890</t>
  </si>
  <si>
    <t>58445P</t>
  </si>
  <si>
    <t>MDLK</t>
  </si>
  <si>
    <t>1997-01-29</t>
  </si>
  <si>
    <t>UBICS Inc</t>
  </si>
  <si>
    <t>supports the fintech industry through its IT services and solutions.</t>
  </si>
  <si>
    <t>UBICS INC</t>
  </si>
  <si>
    <t>0001045445</t>
  </si>
  <si>
    <t>90261L</t>
  </si>
  <si>
    <t>UBIX</t>
  </si>
  <si>
    <t>1997-10-30</t>
  </si>
  <si>
    <t>Doximity Inc</t>
  </si>
  <si>
    <t>Doximity provides an online platform for medical professionals. It's a healthcare technology company, not financial technology.</t>
  </si>
  <si>
    <t>DOXIMITY INC</t>
  </si>
  <si>
    <t>0001516513</t>
  </si>
  <si>
    <t>26622P</t>
  </si>
  <si>
    <t>DOCS</t>
  </si>
  <si>
    <t>2021-06-24</t>
  </si>
  <si>
    <t>Atlantic Coast Financial Corp</t>
  </si>
  <si>
    <t>0001404296</t>
  </si>
  <si>
    <t>048426</t>
  </si>
  <si>
    <t>ACFC</t>
  </si>
  <si>
    <t>Territorial Bancorp Inc</t>
  </si>
  <si>
    <t>TERRITORIAL BANCORP INC</t>
  </si>
  <si>
    <t>0001447051</t>
  </si>
  <si>
    <t>88145X</t>
  </si>
  <si>
    <t>TBNK</t>
  </si>
  <si>
    <t>2009-07-13</t>
  </si>
  <si>
    <t>MapInfo Corp</t>
  </si>
  <si>
    <t>MapInfo Corp provided geographic information system (GIS) software. While data is important in finance, MapInfo's core business was not financial technology.</t>
  </si>
  <si>
    <t>MAPINFO CORP</t>
  </si>
  <si>
    <t>0000916238</t>
  </si>
  <si>
    <t>565105</t>
  </si>
  <si>
    <t>MAPS</t>
  </si>
  <si>
    <t>MAPS.1</t>
  </si>
  <si>
    <t>1994-02-01</t>
  </si>
  <si>
    <t>Emdeon Inc</t>
  </si>
  <si>
    <t>Emdeon Inc. (now Change Healthcare) was a provider of revenue and payment cycle management solutions for the U.S. healthcare system. It's healthcare IT, not financial technology.</t>
  </si>
  <si>
    <t>EMDEON INC</t>
  </si>
  <si>
    <t>0001444598</t>
  </si>
  <si>
    <t>29084T</t>
  </si>
  <si>
    <t>EM</t>
  </si>
  <si>
    <t>EM.3</t>
  </si>
  <si>
    <t>2009-08-12</t>
  </si>
  <si>
    <t>ServiceSource International</t>
  </si>
  <si>
    <t>ServiceSource International provided recurring revenue management and services. While revenue is financial, their focus was on managing service contracts, not financial transactions or investments.</t>
  </si>
  <si>
    <t>SERVICESOURCE INTL INC</t>
  </si>
  <si>
    <t>0001310114,0001310114</t>
  </si>
  <si>
    <t>81763U</t>
  </si>
  <si>
    <t>SREV</t>
  </si>
  <si>
    <t>2011-03-25</t>
  </si>
  <si>
    <t>Impath Inc</t>
  </si>
  <si>
    <t>Impath Inc. was a diagnostic information services company, primarily in pathology. Not related to financial technology.</t>
  </si>
  <si>
    <t>IMPATH INC</t>
  </si>
  <si>
    <t>0001003114</t>
  </si>
  <si>
    <t>45255G</t>
  </si>
  <si>
    <t>IMPH</t>
  </si>
  <si>
    <t>IMPHQ</t>
  </si>
  <si>
    <t>1996-02-20</t>
  </si>
  <si>
    <t>Legato Systems Inc</t>
  </si>
  <si>
    <t>Legato Systems Inc. was a data management and storage software company. Financial institutions and fintechs rely heavily on secure and efficient data management.</t>
  </si>
  <si>
    <t>LEGATO SYSTEMS INC</t>
  </si>
  <si>
    <t>0000859360</t>
  </si>
  <si>
    <t>524651</t>
  </si>
  <si>
    <t>LGTO</t>
  </si>
  <si>
    <t>LGTO.1</t>
  </si>
  <si>
    <t>1995-06-07</t>
  </si>
  <si>
    <t>Infoseek Corp</t>
  </si>
  <si>
    <t>Infoseek Corp was an early internet search engine and web portal. Not related to financial technology.</t>
  </si>
  <si>
    <t>INFOSEEK CORP</t>
  </si>
  <si>
    <t>0000920729,0001071923</t>
  </si>
  <si>
    <t>45678M</t>
  </si>
  <si>
    <t>SEEK</t>
  </si>
  <si>
    <t>SEEK.</t>
  </si>
  <si>
    <t>1996-06-11</t>
  </si>
  <si>
    <t>MS Financial(MS Diversified)</t>
  </si>
  <si>
    <t>This appears to be a traditional diversified financial services firm, not primarily focused on technology-driven financial innovation.</t>
  </si>
  <si>
    <t>MS FINANCIAL INC</t>
  </si>
  <si>
    <t>0000946014</t>
  </si>
  <si>
    <t>553566</t>
  </si>
  <si>
    <t>MSFI</t>
  </si>
  <si>
    <t>1995-07-21</t>
  </si>
  <si>
    <t>NationsRent Inc</t>
  </si>
  <si>
    <t>NationsRent was an equipment rental company, entirely unrelated to financial technology.</t>
  </si>
  <si>
    <t>NATIONSRENT INC</t>
  </si>
  <si>
    <t>0001062515</t>
  </si>
  <si>
    <t>638588</t>
  </si>
  <si>
    <t>NRI</t>
  </si>
  <si>
    <t>3NRNTQ</t>
  </si>
  <si>
    <t>1998-08-07</t>
  </si>
  <si>
    <t>Integrated Measurement Systems</t>
  </si>
  <si>
    <t>This company likely dealt with measurement technology, not financial services or fintech.</t>
  </si>
  <si>
    <t>INTEGRATED MEASURMNT SYS INC</t>
  </si>
  <si>
    <t>0000945441</t>
  </si>
  <si>
    <t>457923</t>
  </si>
  <si>
    <t>IMSC</t>
  </si>
  <si>
    <t>IMSC.1</t>
  </si>
  <si>
    <t>CDNS</t>
  </si>
  <si>
    <t>athenahealth Inc</t>
  </si>
  <si>
    <t>athenahealth provides cloud-based services for healthcare providers, focusing on medical records and practice management, not financial technology.</t>
  </si>
  <si>
    <t>ATHENAHEALTH INC</t>
  </si>
  <si>
    <t>0001131096</t>
  </si>
  <si>
    <t>04685W</t>
  </si>
  <si>
    <t>ATHN</t>
  </si>
  <si>
    <t>ATHN.2</t>
  </si>
  <si>
    <t>2007-09-20</t>
  </si>
  <si>
    <t>PeopleSupport Inc</t>
  </si>
  <si>
    <t>PeopleSupport was a business process outsourcing (BPO) provider, offering customer service and back-office support, not directly fintech.</t>
  </si>
  <si>
    <t>PEOPLESUPPORT INC</t>
  </si>
  <si>
    <t>0001079854,0001289001</t>
  </si>
  <si>
    <t>712714</t>
  </si>
  <si>
    <t>PSPT</t>
  </si>
  <si>
    <t>2004-10-01</t>
  </si>
  <si>
    <t>Metro One Telecommunications</t>
  </si>
  <si>
    <t>This company was involved in directory assistance and telecommunications, not financial technology.</t>
  </si>
  <si>
    <t>0000920990</t>
  </si>
  <si>
    <t>59163F</t>
  </si>
  <si>
    <t>MTON</t>
  </si>
  <si>
    <t>Professional Diversity Network</t>
  </si>
  <si>
    <t>This company focuses on diversity in professional recruitment and networking, not financial technology.</t>
  </si>
  <si>
    <t>0001546296,0001546296</t>
  </si>
  <si>
    <t>74312Y</t>
  </si>
  <si>
    <t>IPDN</t>
  </si>
  <si>
    <t>Wandel &amp; Goltermann Tech Inc</t>
  </si>
  <si>
    <t>This company was primarily involved in telecommunications test and measurement equipment, unrelated to financial technology.</t>
  </si>
  <si>
    <t>WANDEL &amp; GOLTERMANN TECHS</t>
  </si>
  <si>
    <t>0000918381</t>
  </si>
  <si>
    <t>933692</t>
  </si>
  <si>
    <t>WGTI</t>
  </si>
  <si>
    <t>1994-04-07</t>
  </si>
  <si>
    <t>Click Commerce Inc</t>
  </si>
  <si>
    <t>Click Commerce provided e-commerce and supply chain software. Financial institutions and fintechs can use such platforms for procurement and business operations.</t>
  </si>
  <si>
    <t>CLICK COMMERCE INC</t>
  </si>
  <si>
    <t>0001107050</t>
  </si>
  <si>
    <t>18681D</t>
  </si>
  <si>
    <t>CKCM</t>
  </si>
  <si>
    <t>2000-06-27</t>
  </si>
  <si>
    <t>Curo Grp Holdings Corp</t>
  </si>
  <si>
    <t>Curo Group is a financial services company focused on consumer loans, often leveraging technology for online lending and rapid approval processes, fitting the fintech mold.</t>
  </si>
  <si>
    <t>CURO GROUP HLDGS CORP</t>
  </si>
  <si>
    <t>0001711291</t>
  </si>
  <si>
    <t>23131L</t>
  </si>
  <si>
    <t>CURO</t>
  </si>
  <si>
    <t>CUROQ</t>
  </si>
  <si>
    <t>2017-12-07</t>
  </si>
  <si>
    <t>LHS Group Inc</t>
  </si>
  <si>
    <t>LHS Group was a software vendor for telecommunications companies, providing billing and customer care. Financial institutions also have significant billing and customer care needs that such software could support.</t>
  </si>
  <si>
    <t>LHS GROUP INC</t>
  </si>
  <si>
    <t>0001032330</t>
  </si>
  <si>
    <t>501938</t>
  </si>
  <si>
    <t>LHSG</t>
  </si>
  <si>
    <t>1997-05-15</t>
  </si>
  <si>
    <t>OPNET Technologies Inc</t>
  </si>
  <si>
    <t>OPNET provided network performance management software. Fintech companies rely heavily on high-performance and reliable networks, so OPNET's tools would be supportive.</t>
  </si>
  <si>
    <t>OPNET TECHNOLOGIES INC</t>
  </si>
  <si>
    <t>0001108924</t>
  </si>
  <si>
    <t>683757</t>
  </si>
  <si>
    <t>OPNT</t>
  </si>
  <si>
    <t>OPNT.1</t>
  </si>
  <si>
    <t>2000-08-02</t>
  </si>
  <si>
    <t>Coml Capital Bancorp Inc,CA</t>
  </si>
  <si>
    <t>COMMERCIAL CAPITAL BANCORP</t>
  </si>
  <si>
    <t>0001184818</t>
  </si>
  <si>
    <t>20162L</t>
  </si>
  <si>
    <t>CCBI</t>
  </si>
  <si>
    <t>Document Sciences Corp</t>
  </si>
  <si>
    <t>Document Sciences provided software for enterprise document management. Financial institutions deal with massive amounts of documents and benefit from efficient document processing.</t>
  </si>
  <si>
    <t>DOCUMENT SCIENCES CORP</t>
  </si>
  <si>
    <t>0001016831</t>
  </si>
  <si>
    <t>25614R</t>
  </si>
  <si>
    <t>DOCX</t>
  </si>
  <si>
    <t>Western Alliance Bancorp,NV</t>
  </si>
  <si>
    <t>WESTERN ALLIANCE BANCORP</t>
  </si>
  <si>
    <t>0001212545</t>
  </si>
  <si>
    <t>957638</t>
  </si>
  <si>
    <t>WAL</t>
  </si>
  <si>
    <t>2005-06-30</t>
  </si>
  <si>
    <t>HealthGate Data Corp</t>
  </si>
  <si>
    <t>HealthGate Data Corp provided healthcare information and services, not financial technology.</t>
  </si>
  <si>
    <t>HEALTHGATE DATA CORP</t>
  </si>
  <si>
    <t>0001081630</t>
  </si>
  <si>
    <t>42222H</t>
  </si>
  <si>
    <t>HGAT</t>
  </si>
  <si>
    <t>2000-01-26</t>
  </si>
  <si>
    <t>Cotelligent Group Inc</t>
  </si>
  <si>
    <t>Cotelligent Group was an IT consulting and services firm. They would support fintech by providing technology solutions and expertise.</t>
  </si>
  <si>
    <t>0001004963</t>
  </si>
  <si>
    <t>221630</t>
  </si>
  <si>
    <t>COTL</t>
  </si>
  <si>
    <t>Air Lease Corp</t>
  </si>
  <si>
    <t>Air Lease Corp is an aircraft leasing company, a form of asset finance, but not fintech in the technology-driven sense.</t>
  </si>
  <si>
    <t>AIR LEASE CORP</t>
  </si>
  <si>
    <t>0001487712,0001487712</t>
  </si>
  <si>
    <t>00912X</t>
  </si>
  <si>
    <t>AL</t>
  </si>
  <si>
    <t>2011-04-19</t>
  </si>
  <si>
    <t>Phoenix International Ltd Inc</t>
  </si>
  <si>
    <r>
      <rPr>
        <rFont val="Calibri"/>
        <color rgb="FF0000FF"/>
        <sz val="11.0"/>
        <u/>
      </rPr>
      <t xml:space="preserve">They provide technology solutions to financial institutions, specifically focusing on </t>
    </r>
    <r>
      <rPr>
        <rFont val="Calibri"/>
        <color rgb="FF0000FF"/>
        <sz val="11.0"/>
        <u/>
      </rPr>
      <t>digital banking</t>
    </r>
    <r>
      <rPr>
        <rFont val="Calibri"/>
        <color rgb="FF0000FF"/>
        <sz val="11.0"/>
        <u/>
      </rPr>
      <t xml:space="preserve"> and </t>
    </r>
    <r>
      <rPr>
        <rFont val="Calibri"/>
        <color rgb="FF0000FF"/>
        <sz val="11.0"/>
        <u/>
      </rPr>
      <t>core banking</t>
    </r>
    <r>
      <rPr>
        <rFont val="Calibri"/>
        <color rgb="FF0000FF"/>
        <sz val="11.0"/>
        <u/>
      </rPr>
      <t xml:space="preserve"> systems.</t>
    </r>
  </si>
  <si>
    <t>0001013687</t>
  </si>
  <si>
    <t>719078</t>
  </si>
  <si>
    <t>PHXX</t>
  </si>
  <si>
    <t>Ibex Ltd</t>
  </si>
  <si>
    <t>Ibex provides customer engagement and BPO solutions. Fintech companies often outsource customer support or other operational functions to firms like Ibex.</t>
  </si>
  <si>
    <t>IBEX LTD</t>
  </si>
  <si>
    <t>0001720420</t>
  </si>
  <si>
    <t>G4690M</t>
  </si>
  <si>
    <t>IBEX</t>
  </si>
  <si>
    <t>2020-08-07</t>
  </si>
  <si>
    <t>Commerce One Inc</t>
  </si>
  <si>
    <t>Commerce One was a leading provider of e-procurement and e-marketplace solutions. Financial institutions use such platforms for their procurement needs.</t>
  </si>
  <si>
    <t>COMMERCE ONE INC</t>
  </si>
  <si>
    <t>0001069450,0001131806</t>
  </si>
  <si>
    <t>200693</t>
  </si>
  <si>
    <t>CMRC</t>
  </si>
  <si>
    <t>CMRCQ</t>
  </si>
  <si>
    <t>Bioheart Inc</t>
  </si>
  <si>
    <t>Bioheart Inc. was a biotechnology company, unrelated to financial technology.</t>
  </si>
  <si>
    <t>0001105159,0001388319</t>
  </si>
  <si>
    <t>09062F</t>
  </si>
  <si>
    <t>BHRT</t>
  </si>
  <si>
    <t>ZipLink Inc</t>
  </si>
  <si>
    <t>They offer a platform for employee purchases and financial workflows, utilizing AI and no-code configuration, which aligns with the characteristics of a fintech company.</t>
  </si>
  <si>
    <t>ZIPLINK INC</t>
  </si>
  <si>
    <t>0001081393</t>
  </si>
  <si>
    <t>989741</t>
  </si>
  <si>
    <t>ZIPL</t>
  </si>
  <si>
    <t>1999-05-26</t>
  </si>
  <si>
    <t>High Speed Access Corp</t>
  </si>
  <si>
    <t>This company was an internet service provider focusing on broadband access, not financial technology.</t>
  </si>
  <si>
    <t>HIGH SPEED ACCESS CORP</t>
  </si>
  <si>
    <t>0001075244</t>
  </si>
  <si>
    <t>42979U</t>
  </si>
  <si>
    <t>HSAC</t>
  </si>
  <si>
    <t>3HSAC</t>
  </si>
  <si>
    <t>1999-06-04</t>
  </si>
  <si>
    <t>Smith Micro Software Inc</t>
  </si>
  <si>
    <t>Smith Micro provides software products, including utility and graphics software. While not directly fintech, their software tools could be used by fintech companies for various operational needs.</t>
  </si>
  <si>
    <t>0000948708,0000948708,0000948708</t>
  </si>
  <si>
    <t>832154</t>
  </si>
  <si>
    <t>SMSI</t>
  </si>
  <si>
    <t>Apache Medical Systems Inc</t>
  </si>
  <si>
    <t>Apache Medical Systems provided software for critical care units, not financial technology.</t>
  </si>
  <si>
    <t>0000883697</t>
  </si>
  <si>
    <t>03746E</t>
  </si>
  <si>
    <t>AMSI</t>
  </si>
  <si>
    <t>Vantive Corp</t>
  </si>
  <si>
    <t>Vantive Corp was a CRM (Customer Relationship Management) software provider. Fintech companies use CRM systems to manage customer interactions and sales.</t>
  </si>
  <si>
    <t>VANTIVE CORP</t>
  </si>
  <si>
    <t>0000947549</t>
  </si>
  <si>
    <t>922091</t>
  </si>
  <si>
    <t>VNTV</t>
  </si>
  <si>
    <t>VNTV.1</t>
  </si>
  <si>
    <t>1995-08-14</t>
  </si>
  <si>
    <t>Instinet Group Inc</t>
  </si>
  <si>
    <t>Instinet was a pioneer in electronic trading and agency brokerage. Its core business was using technology to facilitate financial transactions and trading.</t>
  </si>
  <si>
    <t>INSTINET GROUP INC</t>
  </si>
  <si>
    <t>0001132327</t>
  </si>
  <si>
    <t>457750</t>
  </si>
  <si>
    <t>INGP</t>
  </si>
  <si>
    <t>INGP.</t>
  </si>
  <si>
    <t>RTRS</t>
  </si>
  <si>
    <t>2001-05-18</t>
  </si>
  <si>
    <t>Ancestry.com Inc</t>
  </si>
  <si>
    <t>Ancestry.com is a genealogy company, completely unrelated to financial technology.</t>
  </si>
  <si>
    <t>0001469433</t>
  </si>
  <si>
    <t>032803</t>
  </si>
  <si>
    <t>Dendrite International Inc</t>
  </si>
  <si>
    <t>Dendrite International provided CRM and sales force automation solutions primarily for the pharmaceutical industry, not specifically financial technology.</t>
  </si>
  <si>
    <t>DENDRITE INTERNATIONAL INC</t>
  </si>
  <si>
    <t>0000880321</t>
  </si>
  <si>
    <t>248239</t>
  </si>
  <si>
    <t>DRTE</t>
  </si>
  <si>
    <t>1995-06-30</t>
  </si>
  <si>
    <t>TIBCO Software Inc</t>
  </si>
  <si>
    <t>TIBCO provides enterprise integration and analytics software. Fintech companies often rely on data integration and real-time analytics for their operations, making TIBCO a supporting technology.</t>
  </si>
  <si>
    <t>TIBCO SOFTWARE INC</t>
  </si>
  <si>
    <t>0001085280</t>
  </si>
  <si>
    <t>88632Q</t>
  </si>
  <si>
    <t>TIBX</t>
  </si>
  <si>
    <t>Net.Bank Inc-Alpharetta,GA</t>
  </si>
  <si>
    <t>This company was one of the early internet-only banks. Its entire business model was based on delivering banking services digitally, making it a clear fintech example.</t>
  </si>
  <si>
    <t>NETBANK INC</t>
  </si>
  <si>
    <t>0001035826</t>
  </si>
  <si>
    <t>640933</t>
  </si>
  <si>
    <t>NTBK</t>
  </si>
  <si>
    <t>NTBKQ</t>
  </si>
  <si>
    <t>1997-07-29</t>
  </si>
  <si>
    <t>Midwest Banc Holdings Inc</t>
  </si>
  <si>
    <t>MIDWEST BANC HOLDINGS INC</t>
  </si>
  <si>
    <t>0001051379</t>
  </si>
  <si>
    <t>598251</t>
  </si>
  <si>
    <t>MBHI</t>
  </si>
  <si>
    <t>MBHIQ</t>
  </si>
  <si>
    <t>MobileIron Inc</t>
  </si>
  <si>
    <t>MobileIron provided mobile enterprise security and management. As fintech companies increasingly operate on mobile platforms, securing these devices is crucial.</t>
  </si>
  <si>
    <t>MOBILEIRON INC</t>
  </si>
  <si>
    <t>0001470099</t>
  </si>
  <si>
    <t>60739U</t>
  </si>
  <si>
    <t>MOBL</t>
  </si>
  <si>
    <t>2014-06-12</t>
  </si>
  <si>
    <t>Printcafe Software Inc</t>
  </si>
  <si>
    <t>Printcafe Software Inc. provided software for the printing industry, unrelated to financial technology.</t>
  </si>
  <si>
    <t>PRINTCAFE SOFTWARE INC</t>
  </si>
  <si>
    <t>0001108507</t>
  </si>
  <si>
    <t>742562</t>
  </si>
  <si>
    <t>PCAF</t>
  </si>
  <si>
    <t>SportsLine USA Inc</t>
  </si>
  <si>
    <t>SportsLine USA Inc. was a sports information and content website, not financial technology.</t>
  </si>
  <si>
    <t>SPORTSLINE.COM INC</t>
  </si>
  <si>
    <t>0000945688</t>
  </si>
  <si>
    <t>848934</t>
  </si>
  <si>
    <t>SPLN</t>
  </si>
  <si>
    <t>SPLN.</t>
  </si>
  <si>
    <t>1997-11-13</t>
  </si>
  <si>
    <t>Made2Manage Systems Inc</t>
  </si>
  <si>
    <t>Made2Manage Systems Inc. provided enterprise resource planning (ERP) software primarily for manufacturing companies, not financial technology.</t>
  </si>
  <si>
    <t>MADE2MANAGE SYSTEMS INC</t>
  </si>
  <si>
    <t>0001038271</t>
  </si>
  <si>
    <t>556466</t>
  </si>
  <si>
    <t>MTMS</t>
  </si>
  <si>
    <t>MTMS.</t>
  </si>
  <si>
    <t>Midwest Holding Inc</t>
  </si>
  <si>
    <t>Midwest Holding Inc. is not primarily a fintech company, but it does operate at the intersection of insurance and technology, offering technology-enabled solutions for life and annuity products</t>
  </si>
  <si>
    <t>0000355379</t>
  </si>
  <si>
    <t>59833J</t>
  </si>
  <si>
    <t>MDWT</t>
  </si>
  <si>
    <t>Ampal-American Israel Corp</t>
  </si>
  <si>
    <t xml:space="preserve">Ampal-American Israel Corp was involved in real estate and energy investments in Israel, a traditional investment firm, not fintech.
</t>
  </si>
  <si>
    <t>0000731859,0000731859</t>
  </si>
  <si>
    <t>032015</t>
  </si>
  <si>
    <t>AISA</t>
  </si>
  <si>
    <t>POLI</t>
  </si>
  <si>
    <t>PMCC Financial Corp</t>
  </si>
  <si>
    <t>"PMCC Financial Corp" sounds like a traditional financial services or lending company, not specifically fintech.</t>
  </si>
  <si>
    <t>0001048275</t>
  </si>
  <si>
    <t>693429</t>
  </si>
  <si>
    <t>PFC</t>
  </si>
  <si>
    <t>Jamf Holding Corp</t>
  </si>
  <si>
    <t>Jamf provides Apple device management software. Many companies, including fintechs, use Apple devices, and Jamf helps manage their security and deployment.</t>
  </si>
  <si>
    <t>JAMF HOLDING CORP</t>
  </si>
  <si>
    <t>0001721947</t>
  </si>
  <si>
    <t>47074L</t>
  </si>
  <si>
    <t>JAMF</t>
  </si>
  <si>
    <t>2020-07-22</t>
  </si>
  <si>
    <t>NetSpeak Corp</t>
  </si>
  <si>
    <t>NetSpeak Corp was a company involved in Voice over IP (VoIP) and internet telephony, not financial technology.</t>
  </si>
  <si>
    <t>NETSPEAK CORP</t>
  </si>
  <si>
    <t>0001007209</t>
  </si>
  <si>
    <t>64115D</t>
  </si>
  <si>
    <t>NSPK</t>
  </si>
  <si>
    <t>1997-05-29</t>
  </si>
  <si>
    <t>Ocwen Asset Investment Corp</t>
  </si>
  <si>
    <t>Ocwen Asset Investment Corp was involved in mortgage servicing and asset management, which are traditional financial services.</t>
  </si>
  <si>
    <t>OCWEN ASSET INVESTMENT CORP</t>
  </si>
  <si>
    <t>0001033643</t>
  </si>
  <si>
    <t>67574M</t>
  </si>
  <si>
    <t>OAIC</t>
  </si>
  <si>
    <t>OAC.1</t>
  </si>
  <si>
    <t>1997-05-14</t>
  </si>
  <si>
    <t>The Trade Desk Inc</t>
  </si>
  <si>
    <t>The Trade Desk is a technology company providing a platform for digital advertising. While not directly fintech, financial companies and fintechs utilize digital advertising for customer acquisition.</t>
  </si>
  <si>
    <t>TRADE DESK INC</t>
  </si>
  <si>
    <t>0001671933</t>
  </si>
  <si>
    <t>88339J</t>
  </si>
  <si>
    <t>TTD</t>
  </si>
  <si>
    <t>2016-09-21</t>
  </si>
  <si>
    <t>Paula Financial Co</t>
  </si>
  <si>
    <t>Paula Financial Co. was an insurance company, a traditional financial service.</t>
  </si>
  <si>
    <t>PAULA FINANCIAL/DE</t>
  </si>
  <si>
    <t>0000929031</t>
  </si>
  <si>
    <t>703588</t>
  </si>
  <si>
    <t>PFCO</t>
  </si>
  <si>
    <t>1997-10-24</t>
  </si>
  <si>
    <t>Avenue Financial Holdings Inc</t>
  </si>
  <si>
    <t>AVENUE FINANCIAL HOLDINGS</t>
  </si>
  <si>
    <t>0001616297</t>
  </si>
  <si>
    <t>05358K</t>
  </si>
  <si>
    <t>AVNU</t>
  </si>
  <si>
    <t>2015-02-10</t>
  </si>
  <si>
    <t>Progenity Inc</t>
  </si>
  <si>
    <t>Progenity Inc. is a biotechnology company focused on diagnostics, unrelated to financial technology.</t>
  </si>
  <si>
    <t>0001580063</t>
  </si>
  <si>
    <t>74319F</t>
  </si>
  <si>
    <t>PROG</t>
  </si>
  <si>
    <t>eFunds Corp</t>
  </si>
  <si>
    <t>eFunds Corp provided electronic payment processing and risk management solutions, directly involved in the technology behind financial transactions.</t>
  </si>
  <si>
    <t>EFUNDS CORP</t>
  </si>
  <si>
    <t>0001109190,0001267414,0001267414</t>
  </si>
  <si>
    <t>28224R</t>
  </si>
  <si>
    <t>EFDS</t>
  </si>
  <si>
    <t>EFD.1</t>
  </si>
  <si>
    <t>DLX</t>
  </si>
  <si>
    <t>Performant Financial Corp</t>
  </si>
  <si>
    <t>Performant Financial Corp is a provider of outsourced recovery and related analytics services, primarily for government and healthcare. While involving financial recovery, its core is BPO, not technology-driven financial innovation.</t>
  </si>
  <si>
    <t>PERFORMANT HEALTHCARE INC</t>
  </si>
  <si>
    <t>0001550695</t>
  </si>
  <si>
    <t>71377E</t>
  </si>
  <si>
    <t>PHLT</t>
  </si>
  <si>
    <t>2012-08-10</t>
  </si>
  <si>
    <t>Docent Inc</t>
  </si>
  <si>
    <t>Docent Inc. provided e-learning software and services, unrelated to financial technology.</t>
  </si>
  <si>
    <t>DOCENT INC</t>
  </si>
  <si>
    <t>0001043134</t>
  </si>
  <si>
    <t>25608L</t>
  </si>
  <si>
    <t>DCNT</t>
  </si>
  <si>
    <t>Deltek Systems Inc</t>
  </si>
  <si>
    <t>Deltek provides enterprise software and information solutions, including project-based ERP and professional services automation. Fintech companies can use these tools for their operational and financial management.</t>
  </si>
  <si>
    <t>0001029299</t>
  </si>
  <si>
    <t>24785A</t>
  </si>
  <si>
    <t>DLTK</t>
  </si>
  <si>
    <t>VeriSign Inc</t>
  </si>
  <si>
    <t>VeriSign provides domain name registry services and internet security, including SSL certificates. Fintech companies rely heavily on secure online identities and communication.</t>
  </si>
  <si>
    <t>VERISIGN INC</t>
  </si>
  <si>
    <t>0001014473</t>
  </si>
  <si>
    <t>92343E</t>
  </si>
  <si>
    <t>VRSN</t>
  </si>
  <si>
    <t>1998-01-29</t>
  </si>
  <si>
    <t>Alkami Technology Inc</t>
  </si>
  <si>
    <t>Alkami Technology provides cloud-based digital banking solutions for financial institutions. They enable banks and credit unions to offer modern online and mobile banking experiences.</t>
  </si>
  <si>
    <t>ALKAMI TECHNOLOGY INC</t>
  </si>
  <si>
    <t>0001529274</t>
  </si>
  <si>
    <t>01644J</t>
  </si>
  <si>
    <t>ALKT</t>
  </si>
  <si>
    <t>2021-04-14</t>
  </si>
  <si>
    <t>Acurx Pharmaceuticals LLC</t>
  </si>
  <si>
    <t>Acurx Pharmaceuticals is a biotechnology company focused on drug discovery. It operates in the pharmaceutical sector, not financial technology.</t>
  </si>
  <si>
    <t>ACURX PHARMA INC</t>
  </si>
  <si>
    <t>0001736243</t>
  </si>
  <si>
    <t>00510M</t>
  </si>
  <si>
    <t>ACXP</t>
  </si>
  <si>
    <t>2021-06-25</t>
  </si>
  <si>
    <t>SEMrush Holdings Inc</t>
  </si>
  <si>
    <t>SEMrush provides online visibility management and content marketing SaaS tools. Fintech companies use these tools for digital marketing and customer acquisition.</t>
  </si>
  <si>
    <t>SEMRUSH HOLD INC</t>
  </si>
  <si>
    <t>0001831840</t>
  </si>
  <si>
    <t>81686C</t>
  </si>
  <si>
    <t>SEMR</t>
  </si>
  <si>
    <t>2021-03-25</t>
  </si>
  <si>
    <t>Interactive Brokers Group Inc</t>
  </si>
  <si>
    <t>Interactive Brokers is an automated global electronic broker that serves institutional and retail clients. They use technology to facilitate trading in a wide range of financial products.</t>
  </si>
  <si>
    <t>INTERACTIVE BROKERS GROUP</t>
  </si>
  <si>
    <t>0001381197</t>
  </si>
  <si>
    <t>45841N</t>
  </si>
  <si>
    <t>IBKR</t>
  </si>
  <si>
    <t>2007-05-04</t>
  </si>
  <si>
    <t>Freshstart Venture Capital</t>
  </si>
  <si>
    <t>This is a venture capital firm that invests in other companies. While they might invest in fintech, they are not a fintech company themselves.</t>
  </si>
  <si>
    <t>FRESHSTART VENTURE CAP CORP</t>
  </si>
  <si>
    <t>0000818897</t>
  </si>
  <si>
    <t>358042</t>
  </si>
  <si>
    <t>FSVC</t>
  </si>
  <si>
    <t>1996-11-26</t>
  </si>
  <si>
    <t>First Republic Bank,California</t>
  </si>
  <si>
    <t>First Republic Bank was a traditional commercial bank. Its core business was standard banking services, not technology-driven financial innovation.</t>
  </si>
  <si>
    <t>FIRST REPUBLIC BANK</t>
  </si>
  <si>
    <t>0001132979</t>
  </si>
  <si>
    <t>33616C</t>
  </si>
  <si>
    <t>FRCB</t>
  </si>
  <si>
    <t>1986-08-27</t>
  </si>
  <si>
    <t>Ansoft Corp</t>
  </si>
  <si>
    <t>Ansoft Corp developed electronic design automation (EDA) software for engineers. This is a general software company, not related to financial technology.</t>
  </si>
  <si>
    <t>0000849433</t>
  </si>
  <si>
    <t>036384</t>
  </si>
  <si>
    <t>ANST</t>
  </si>
  <si>
    <t>Alarm.com Holdings Inc</t>
  </si>
  <si>
    <t>Alarm.com provides cloud-based services for remote control, home automation, and alarm monitoring. This is a smart home technology company, not financial.</t>
  </si>
  <si>
    <t>0001459200</t>
  </si>
  <si>
    <t>011642</t>
  </si>
  <si>
    <t>ALRM</t>
  </si>
  <si>
    <t>CBOT Holdings Inc</t>
  </si>
  <si>
    <t>CBOT Holdings Inc. was the parent company of the Chicago Board of Trade, a traditional derivatives exchange. While exchanges use technology, their core business model is market operation, not fintech.</t>
  </si>
  <si>
    <t>CBOT HOLDINGS INC</t>
  </si>
  <si>
    <t>0001161448</t>
  </si>
  <si>
    <t>14984K</t>
  </si>
  <si>
    <t>BOT</t>
  </si>
  <si>
    <t>BOT.2</t>
  </si>
  <si>
    <t>Inktomi Corp</t>
  </si>
  <si>
    <t>Inktomi was a search engine and internet infrastructure software company. It was a general internet technology company, not financial.</t>
  </si>
  <si>
    <t>INKTOMI CORP</t>
  </si>
  <si>
    <t>0001024302</t>
  </si>
  <si>
    <t>457277</t>
  </si>
  <si>
    <t>INKT</t>
  </si>
  <si>
    <t>INKT.1</t>
  </si>
  <si>
    <t>Stronghold Digital Mining Inc</t>
  </si>
  <si>
    <t>Stronghold Digital Mining is involved in cryptocurrency mining, which is a key part of the digital asset ecosystem. This makes them a player within the broader fintech landscape.</t>
  </si>
  <si>
    <t>STRONGHOLD DIGITAL MININ INC</t>
  </si>
  <si>
    <t>0001856028</t>
  </si>
  <si>
    <t>86337R</t>
  </si>
  <si>
    <t>SDIG</t>
  </si>
  <si>
    <t>2021-10-20</t>
  </si>
  <si>
    <t>CS Disco Inc</t>
  </si>
  <si>
    <t>CS Disco provides cloud-native, AI-powered legal solutions for document review and case management. Financial institutions and legal departments within finance use such tools.</t>
  </si>
  <si>
    <t>CS DISCO INC</t>
  </si>
  <si>
    <t>0001625641</t>
  </si>
  <si>
    <t>126327</t>
  </si>
  <si>
    <t>LAW</t>
  </si>
  <si>
    <t>2021-07-21</t>
  </si>
  <si>
    <t>Cmnty Central Bank Corp,MI</t>
  </si>
  <si>
    <t>COMMUNITY CENTRAL BK CORP</t>
  </si>
  <si>
    <t>0001014133</t>
  </si>
  <si>
    <t>20363J</t>
  </si>
  <si>
    <t>CCBD</t>
  </si>
  <si>
    <t>SelectQuote Inc</t>
  </si>
  <si>
    <t>SelectQuote operates as a direct-to-consumer online insurance exchange. Their model leverages technology to connect consumers with insurance products, making them an insurtech company.</t>
  </si>
  <si>
    <t>SELECTQUOTE INC</t>
  </si>
  <si>
    <t>0001794783</t>
  </si>
  <si>
    <t>816307</t>
  </si>
  <si>
    <t>SLQT</t>
  </si>
  <si>
    <t>2020-05-21</t>
  </si>
  <si>
    <t>Caribou Biosciences Inc</t>
  </si>
  <si>
    <t>Caribou Biosciences is a clinical-stage biopharmaceutical company. It is in the biotechnology sector, not financial technology.</t>
  </si>
  <si>
    <t>CARIBOU BIOSCIENCE INC</t>
  </si>
  <si>
    <t>0001619856</t>
  </si>
  <si>
    <t>142038</t>
  </si>
  <si>
    <t>CRBU</t>
  </si>
  <si>
    <t>2021-07-23</t>
  </si>
  <si>
    <t>Rubius Therapeutics Inc</t>
  </si>
  <si>
    <t>Rubius Therapeutics was a biotechnology company. It was focused on developing red cell therapeutics, not financial technology.</t>
  </si>
  <si>
    <t>RUBIUS THERAPEUTICS INC</t>
  </si>
  <si>
    <t>0001709401</t>
  </si>
  <si>
    <t>78116T</t>
  </si>
  <si>
    <t>RUBY</t>
  </si>
  <si>
    <t>2018-07-18</t>
  </si>
  <si>
    <t>Internet Brands Inc</t>
  </si>
  <si>
    <t>Internet Brands operates a portfolio of online media and software businesses in various vertical markets. While it's an internet company, it's not specifically financial.</t>
  </si>
  <si>
    <t>INTERNET BRANDS INC</t>
  </si>
  <si>
    <t>0001080131</t>
  </si>
  <si>
    <t>460608</t>
  </si>
  <si>
    <t>INET</t>
  </si>
  <si>
    <t>Waddell &amp; Reed Financial Inc</t>
  </si>
  <si>
    <t>Waddell &amp; Reed was a traditional asset management and financial planning company. Its core business was investment management, not technology-driven financial services.</t>
  </si>
  <si>
    <t>WADDELL&amp;REED FINL INC  -CL A</t>
  </si>
  <si>
    <t>0001052100</t>
  </si>
  <si>
    <t>930059</t>
  </si>
  <si>
    <t>WDR</t>
  </si>
  <si>
    <t>TMK</t>
  </si>
  <si>
    <t>1998-03-04</t>
  </si>
  <si>
    <t>AMISYS Managed Care Systems</t>
  </si>
  <si>
    <t>AMISYS provided managed care information systems for healthcare organizations. This is healthcare IT, not financial technology.</t>
  </si>
  <si>
    <t>0001003202</t>
  </si>
  <si>
    <t>031536</t>
  </si>
  <si>
    <t>AMCS</t>
  </si>
  <si>
    <t>Equity Corp International</t>
  </si>
  <si>
    <t>Equity Corp International is not considered a fintech company; it's a private equity firm.</t>
  </si>
  <si>
    <t>EQUITY CORP INTERNATIONAL</t>
  </si>
  <si>
    <t>0000928155</t>
  </si>
  <si>
    <t>294644</t>
  </si>
  <si>
    <t>EQU</t>
  </si>
  <si>
    <t>EQU.1</t>
  </si>
  <si>
    <t>1994-10-19</t>
  </si>
  <si>
    <t>Dicerna Pharmaceuticals Inc</t>
  </si>
  <si>
    <t>Dicerna Pharmaceuticals was a biopharmaceutical company. It was focused on RNA interference therapies, not financial technology.</t>
  </si>
  <si>
    <t>DICERNA PHARMACEUTICALS INC</t>
  </si>
  <si>
    <t>0001399529</t>
  </si>
  <si>
    <t>253031</t>
  </si>
  <si>
    <t>DRNA</t>
  </si>
  <si>
    <t>2014-01-30</t>
  </si>
  <si>
    <t>ViaGrafix Corp</t>
  </si>
  <si>
    <t>ViaGrafix Corp was a software company known for design and multimedia software. This is a general software company, not financial.</t>
  </si>
  <si>
    <t>VIAGRAFIX CORP</t>
  </si>
  <si>
    <t>0001051556</t>
  </si>
  <si>
    <t>925909</t>
  </si>
  <si>
    <t>VIAX</t>
  </si>
  <si>
    <t>Blackbaud Inc</t>
  </si>
  <si>
    <t>Blackbaud provides cloud software solutions for the social good community, including fundraising and financial management. Non-profits and charitable arms of financial institutions may use their financial management tools.</t>
  </si>
  <si>
    <t>BLACKBAUD INC</t>
  </si>
  <si>
    <t>0001280058</t>
  </si>
  <si>
    <t>09227Q</t>
  </si>
  <si>
    <t>BLKB</t>
  </si>
  <si>
    <t>2004-07-22</t>
  </si>
  <si>
    <t>Carbonite Inc</t>
  </si>
  <si>
    <t>Carbonite provided cloud and hybrid backup solutions. Fintech companies rely on robust data backup and recovery for business continuity.</t>
  </si>
  <si>
    <t>CARBONITE INC</t>
  </si>
  <si>
    <t>0001340127</t>
  </si>
  <si>
    <t>141337</t>
  </si>
  <si>
    <t>CARB</t>
  </si>
  <si>
    <t>CARB.2</t>
  </si>
  <si>
    <t>2011-08-11</t>
  </si>
  <si>
    <t>USWeb Corp</t>
  </si>
  <si>
    <t>USWeb Corp was a prominent internet professional services company. They provided web development and consulting, which could include services for financial institutions building online presence.</t>
  </si>
  <si>
    <t>USWEB CORP</t>
  </si>
  <si>
    <t>0001010724</t>
  </si>
  <si>
    <t>917327</t>
  </si>
  <si>
    <t>USWB</t>
  </si>
  <si>
    <t>1997-12-05</t>
  </si>
  <si>
    <t>SEEC Inc</t>
  </si>
  <si>
    <t>SEEC Inc. provided enterprise software solutions, including legacy system modernization. Fintech companies or banks undergoing digital transformation might use such services.</t>
  </si>
  <si>
    <t>SEEC INC</t>
  </si>
  <si>
    <t>0000925524</t>
  </si>
  <si>
    <t>784110</t>
  </si>
  <si>
    <t>SEEC</t>
  </si>
  <si>
    <t>1997-01-22</t>
  </si>
  <si>
    <t>Willdan Group Inc</t>
  </si>
  <si>
    <t>Willdan Group provides professional technical and consulting services, primarily in energy and infrastructure. It's not a financial technology company.</t>
  </si>
  <si>
    <t>WILLDAN GROUP INC</t>
  </si>
  <si>
    <t>0001370450</t>
  </si>
  <si>
    <t>96924N</t>
  </si>
  <si>
    <t>WLDN</t>
  </si>
  <si>
    <t>2006-11-21</t>
  </si>
  <si>
    <t>Plastic Surgery Co</t>
  </si>
  <si>
    <t>This is a medical practice or business in the plastic surgery field, completely unrelated to financial technology.</t>
  </si>
  <si>
    <t>PLASTIC SURGERY CO</t>
  </si>
  <si>
    <t>0001041623</t>
  </si>
  <si>
    <t>727557</t>
  </si>
  <si>
    <t>PSU</t>
  </si>
  <si>
    <t>3PSUG</t>
  </si>
  <si>
    <t>1999-12-10</t>
  </si>
  <si>
    <t>WFS Financial Inc</t>
  </si>
  <si>
    <t>WFS Financial Inc. was an auto finance company. It was a traditional lender, not a technology innovator in finance.</t>
  </si>
  <si>
    <t>WFS FINANCIAL INC</t>
  </si>
  <si>
    <t>0000946343,0001129719,0001157383</t>
  </si>
  <si>
    <t>92923B</t>
  </si>
  <si>
    <t>WFSI</t>
  </si>
  <si>
    <t>Owl Rock Capital Corp</t>
  </si>
  <si>
    <t>Owl Rock Capital Corp is a traditional alternative asset manager focused on direct lending. They are in finance, but not primarily technology-driven fintech.</t>
  </si>
  <si>
    <t>BLUE OWL CAPITAL CORP</t>
  </si>
  <si>
    <t>0001655888</t>
  </si>
  <si>
    <t>69121K</t>
  </si>
  <si>
    <t>ORCC</t>
  </si>
  <si>
    <t>OBDC</t>
  </si>
  <si>
    <t>2019-07-18</t>
  </si>
  <si>
    <t>Equillium Inc</t>
  </si>
  <si>
    <t>Equillium Inc. is a clinical-stage biotechnology company developing therapeutics. It is in the biotech sector, not financial technology.</t>
  </si>
  <si>
    <t>EQUILLIUM INC</t>
  </si>
  <si>
    <t>0001746466</t>
  </si>
  <si>
    <t>29446K</t>
  </si>
  <si>
    <t>EQ</t>
  </si>
  <si>
    <t>2018-10-12</t>
  </si>
  <si>
    <t>Genworth Financial Inc</t>
  </si>
  <si>
    <t>Genworth Financial is a financial services company offering insurance and wealth management products. It's a traditional insurer and financial firm.</t>
  </si>
  <si>
    <t>GENWORTH FINANCIAL INC</t>
  </si>
  <si>
    <t>0001276520</t>
  </si>
  <si>
    <t>37247D</t>
  </si>
  <si>
    <t>GNW</t>
  </si>
  <si>
    <t>2004-05-25</t>
  </si>
  <si>
    <t>Witness Systems Inc</t>
  </si>
  <si>
    <t>Witness Systems provided workforce optimization software for contact centers. Financial institutions and fintechs use contact centers for customer service.</t>
  </si>
  <si>
    <t>WITNESS SYSTEMS INC</t>
  </si>
  <si>
    <t>0001097338</t>
  </si>
  <si>
    <t>977424</t>
  </si>
  <si>
    <t>WITS</t>
  </si>
  <si>
    <t>2000-02-10</t>
  </si>
  <si>
    <t>ReachLocal Inc</t>
  </si>
  <si>
    <t>ReachLocal provided digital marketing services for small businesses. Fintech companies, especially those targeting SMBs, might use such services for advertising.</t>
  </si>
  <si>
    <t>REACHLOCAL INC</t>
  </si>
  <si>
    <t>0001297336</t>
  </si>
  <si>
    <t>75525F</t>
  </si>
  <si>
    <t>RLOC</t>
  </si>
  <si>
    <t>2010-05-20</t>
  </si>
  <si>
    <t>LendingTree Inc</t>
  </si>
  <si>
    <t>LendingTree operates an online lending marketplace that connects consumers with lenders. Their platform leverages technology to streamline the loan application and comparison process.</t>
  </si>
  <si>
    <t>LENDINGTREE INC -OLD</t>
  </si>
  <si>
    <t>0001096479,0001434621</t>
  </si>
  <si>
    <t>52602Q</t>
  </si>
  <si>
    <t>TREE</t>
  </si>
  <si>
    <t>TREE.1</t>
  </si>
  <si>
    <t>Concord Holding Corp</t>
  </si>
  <si>
    <t>Concord Holding Corp appears to be a commercial real estate developer. This is a real estate business, not financial technology.</t>
  </si>
  <si>
    <t>CONCORD HOLDING CORP</t>
  </si>
  <si>
    <t>206248</t>
  </si>
  <si>
    <t>CNCD</t>
  </si>
  <si>
    <t>1994-02-24</t>
  </si>
  <si>
    <t>Microtec Research Inc</t>
  </si>
  <si>
    <t>Microtec Research Inc. was a software company focused on embedded systems and compilers. It was a general software developer, not financial.</t>
  </si>
  <si>
    <t>MICROTEC RESEARCH INC</t>
  </si>
  <si>
    <t>0000932203</t>
  </si>
  <si>
    <t>594950</t>
  </si>
  <si>
    <t>MTEC</t>
  </si>
  <si>
    <t>MTEC.</t>
  </si>
  <si>
    <t>1994-12-15</t>
  </si>
  <si>
    <t>Five9 Inc</t>
  </si>
  <si>
    <t>Five9 provides cloud contact center software. Fintech companies use modern contact center solutions for customer service and support.</t>
  </si>
  <si>
    <t>FIVE9 INC</t>
  </si>
  <si>
    <t>0001288847</t>
  </si>
  <si>
    <t>338307</t>
  </si>
  <si>
    <t>FIVN</t>
  </si>
  <si>
    <t>2014-04-04</t>
  </si>
  <si>
    <t>Rock Financial Corp</t>
  </si>
  <si>
    <t>Rock Financial Corp was the precursor to Quicken Loans/Rocket Mortgage. It was an early innovator in online mortgage lending, making it a fintech pioneer.</t>
  </si>
  <si>
    <t>ROCK FINANCIAL CORP/MI</t>
  </si>
  <si>
    <t>0001055286,0000775663,0000884782</t>
  </si>
  <si>
    <t>772150</t>
  </si>
  <si>
    <t>RCCK</t>
  </si>
  <si>
    <t>1998-04-23</t>
  </si>
  <si>
    <t>John Hancock Finl Svcs Inc</t>
  </si>
  <si>
    <t>John Hancock Financial Services is a traditional insurance and financial services company. While they utilize technology, their core business is traditional financial products.</t>
  </si>
  <si>
    <t>HANCOCK JOHN FINL SVCS INC</t>
  </si>
  <si>
    <t>0000736260</t>
  </si>
  <si>
    <t>41014S</t>
  </si>
  <si>
    <t>JHF</t>
  </si>
  <si>
    <t>2000-01-27</t>
  </si>
  <si>
    <t>United Dental Care Inc</t>
  </si>
  <si>
    <t>United Dental Care Inc. was a dental benefits management company. It was in the healthcare sector, not financial.</t>
  </si>
  <si>
    <t>UNITED DENTAL CARE INC/DE</t>
  </si>
  <si>
    <t>0000948556</t>
  </si>
  <si>
    <t>91018H</t>
  </si>
  <si>
    <t>UDCI</t>
  </si>
  <si>
    <t>1995-09-21</t>
  </si>
  <si>
    <t>NewStar Financial Inc</t>
  </si>
  <si>
    <t>NewStar Financial Inc. was a commercial finance company providing debt financing. It was a traditional lender, not fintech.</t>
  </si>
  <si>
    <t>NEWSTAR FINANCIAL INC</t>
  </si>
  <si>
    <t>0001373561</t>
  </si>
  <si>
    <t>65251F</t>
  </si>
  <si>
    <t>NEWS</t>
  </si>
  <si>
    <t>2006-12-14</t>
  </si>
  <si>
    <t>Macatawa Bank Corp,MI</t>
  </si>
  <si>
    <t>MACATAWA BANK CORP</t>
  </si>
  <si>
    <t>0001053584</t>
  </si>
  <si>
    <t>554225</t>
  </si>
  <si>
    <t>MCBC</t>
  </si>
  <si>
    <t>Medallion Financial Corp</t>
  </si>
  <si>
    <t>Medallion Financial Corp. is a specialty finance company, primarily known for medallion loans. It's a traditional niche lender, not a technology innovator in finance.</t>
  </si>
  <si>
    <t>MEDALLION FINANCIAL CORP</t>
  </si>
  <si>
    <t>0001000209</t>
  </si>
  <si>
    <t>583928</t>
  </si>
  <si>
    <t>TAXI</t>
  </si>
  <si>
    <t>MFIN</t>
  </si>
  <si>
    <t>1996-05-23</t>
  </si>
  <si>
    <t>Atreca Inc</t>
  </si>
  <si>
    <t>Atreca Inc. is a biotechnology company focused on antibody therapeutics. It is in the biotech sector, not financial technology.</t>
  </si>
  <si>
    <t>ATRECA INC</t>
  </si>
  <si>
    <t>0001532346</t>
  </si>
  <si>
    <t>04965G</t>
  </si>
  <si>
    <t>BCEL</t>
  </si>
  <si>
    <t>2019-06-20</t>
  </si>
  <si>
    <t>Opower Inc</t>
  </si>
  <si>
    <t>Opower Inc. provided cloud-based software for utility companies to engage customers and manage energy use. It's an energy tech company, not financial.</t>
  </si>
  <si>
    <t>OPOWER INC</t>
  </si>
  <si>
    <t>0001412043</t>
  </si>
  <si>
    <t>68375Y</t>
  </si>
  <si>
    <t>OPWR</t>
  </si>
  <si>
    <t>EVEREN Capital Corp</t>
  </si>
  <si>
    <t>EVEREN Capital Corp was a financial services firm, specifically a securities brokerage. It operated as a traditional financial intermediary.</t>
  </si>
  <si>
    <t>EVEREN CAPITAL CORP</t>
  </si>
  <si>
    <t>0000945770</t>
  </si>
  <si>
    <t>299761</t>
  </si>
  <si>
    <t>EVR</t>
  </si>
  <si>
    <t>EVR.1</t>
  </si>
  <si>
    <t>1996-10-08</t>
  </si>
  <si>
    <t>Higher One Holdings Inc</t>
  </si>
  <si>
    <t>Higher One Holdings provided financial aid disbursement and payment services for higher education. They used technology to streamline financial processes for students and institutions.</t>
  </si>
  <si>
    <t>HIGHER ONE HOLDINGS INC</t>
  </si>
  <si>
    <t>0001445293,0001486800</t>
  </si>
  <si>
    <t>42983D</t>
  </si>
  <si>
    <t>ONE</t>
  </si>
  <si>
    <t>ONE.2</t>
  </si>
  <si>
    <t>2010-06-17</t>
  </si>
  <si>
    <t>Peapod Inc</t>
  </si>
  <si>
    <t>Peapod was an online grocery delivery service, a retail company using e-commerce technology. Its core business was food delivery, not financial services.</t>
  </si>
  <si>
    <t>PEAPOD INC</t>
  </si>
  <si>
    <t>PPOD</t>
  </si>
  <si>
    <t>Shutterstock Inc</t>
  </si>
  <si>
    <t>Shutterstock is a platform for stock photography, video, and music licensing. It operates in the digital media content industry, not financial technology</t>
  </si>
  <si>
    <t>SHUTTERSTOCK INC</t>
  </si>
  <si>
    <t>SSTK</t>
  </si>
  <si>
    <t>Victory Capital Holdings Inc</t>
  </si>
  <si>
    <t>Victory Capital Holdings is a traditional asset management firm. While it uses technology in its operations, its primary business model is managing investments, not technology-driven financial innovation.</t>
  </si>
  <si>
    <t>VICTORY CPTL HLDGS INC</t>
  </si>
  <si>
    <t>92645B</t>
  </si>
  <si>
    <t>VCTR</t>
  </si>
  <si>
    <t>Cybergold Inc</t>
  </si>
  <si>
    <t>Cybergold was an early internet company that focused on online payments and incentives. It directly facilitated digital transactions, making it a fintech pioneer.</t>
  </si>
  <si>
    <t>CYBERGOLD INC</t>
  </si>
  <si>
    <t>23246N</t>
  </si>
  <si>
    <t>CGLD</t>
  </si>
  <si>
    <t>CGLD.1</t>
  </si>
  <si>
    <t>Cityscape Financial Corp</t>
  </si>
  <si>
    <t>Cityscape Financial Corp was a non-prime mortgage lender. It operated within the traditional financial sector, specializing in a specific type of lending.</t>
  </si>
  <si>
    <t>Graybug Vision Inc</t>
  </si>
  <si>
    <t>Graybug Vision is a biopharmaceutical company focused on developing treatments for eye diseases. It operates in the healthcare/biotech sector, not financial technology.</t>
  </si>
  <si>
    <t>CALCIMEDICA INC</t>
  </si>
  <si>
    <t>38942Q</t>
  </si>
  <si>
    <t>GRAY</t>
  </si>
  <si>
    <t>CALC</t>
  </si>
  <si>
    <t>Clayton Holdings Inc</t>
  </si>
  <si>
    <t>Clayton Holdings provided due diligence, surveillance, and consulting services, particularly for the mortgage and capital markets. Their services were crucial for risk assessment and compliance within financial transactions.</t>
  </si>
  <si>
    <t>CLAYTON HOLDINGS INC</t>
  </si>
  <si>
    <t>18418N</t>
  </si>
  <si>
    <t>CLAY</t>
  </si>
  <si>
    <t>CLAY.1</t>
  </si>
  <si>
    <t>Corillian Corp</t>
  </si>
  <si>
    <t>Corillian Corp developed digital banking software specifically for financial institutions. They provided the underlying technology to enable online and mobile banking experiences for banks.</t>
  </si>
  <si>
    <t>CORILLIAN CORP</t>
  </si>
  <si>
    <t>CORI</t>
  </si>
  <si>
    <t>CORI.1</t>
  </si>
  <si>
    <t>Federated Investors Inc</t>
  </si>
  <si>
    <t>Federated Investors is a traditional asset management company. Its business involves managing investment funds, not developing or providing financial technology solutions.</t>
  </si>
  <si>
    <t>FEDERATED HERMES INC</t>
  </si>
  <si>
    <t>FII</t>
  </si>
  <si>
    <t>FHI</t>
  </si>
  <si>
    <t>Mac-Gray Corp</t>
  </si>
  <si>
    <t>Mac-Gray Corp provided laundry services and equipment, including coin-operated machines. It operated in the services and equipment rental industry, unrelated to finance.</t>
  </si>
  <si>
    <t>MAC-GRAY CORP</t>
  </si>
  <si>
    <t>TUC</t>
  </si>
  <si>
    <t>Encore Bancshares Inc</t>
  </si>
  <si>
    <t>Encore Bancshares Inc. was a traditional bank holding company. Its core operations were in traditional banking services.</t>
  </si>
  <si>
    <t>ENCORE BANCSHARES INC</t>
  </si>
  <si>
    <t>29255V</t>
  </si>
  <si>
    <t>EBTX</t>
  </si>
  <si>
    <t>DocuCorp International Inc</t>
  </si>
  <si>
    <t>DocuCorp International provided enterprise document automation software. Financial institutions and fintechs generate a high volume of documents and benefit from automated document creation and management.</t>
  </si>
  <si>
    <t>DOCUCORP INTERNATIONAL INC</t>
  </si>
  <si>
    <t>DOCC</t>
  </si>
  <si>
    <t>Vestcom International Inc</t>
  </si>
  <si>
    <t>Vestcom International Inc. provided shelf-edge communication and pricing solutions for retail stores. It operated in the retail marketing services industry, not financial technology.</t>
  </si>
  <si>
    <t>VESTCOM INTERNATIONAL INC</t>
  </si>
  <si>
    <t>VESC</t>
  </si>
  <si>
    <t>Park Sterling Corp,Charlotte,N</t>
  </si>
  <si>
    <t>Park Sterling Corp was a traditional bank holding company. Its primary business was traditional banking services.</t>
  </si>
  <si>
    <t>PARK STERLING CORP</t>
  </si>
  <si>
    <t>70086Y</t>
  </si>
  <si>
    <t>PSTB</t>
  </si>
  <si>
    <t>Kaye Kotts Associates Inc</t>
  </si>
  <si>
    <t>Kaye Kotts Associates Inc is a company that represents delinquent taxpayers in California and Texas who owe income and/or payroll taxes and may be subject to enforced collection activities.</t>
  </si>
  <si>
    <t>KAYE KOTTS ASSOCIATES INC</t>
  </si>
  <si>
    <t>KTAX</t>
  </si>
  <si>
    <t>3KTAXE</t>
  </si>
  <si>
    <t>HFF Inc</t>
  </si>
  <si>
    <t>HFF Inc. was a commercial real estate capital markets services firm, focusing on real estate finance. While in finance, its core business was not technology-driven financial innovation.</t>
  </si>
  <si>
    <t>HFF INC</t>
  </si>
  <si>
    <t>40418F</t>
  </si>
  <si>
    <t>HF</t>
  </si>
  <si>
    <t>HF.3</t>
  </si>
  <si>
    <t>CapMAC Holdings Inc</t>
  </si>
  <si>
    <t>CapMAC Holdings Inc. was a financial guarantee insurance company. This is a traditional form of insurance within the financial sector, not fintech.</t>
  </si>
  <si>
    <t>CAPMAC HOLDINGS INC</t>
  </si>
  <si>
    <t>KAP</t>
  </si>
  <si>
    <t>KAP.1</t>
  </si>
  <si>
    <t>Ally Financial Inc</t>
  </si>
  <si>
    <t>Ally Financial is a digitally focused financial services company that primarily operates online, offering banking, auto finance, and other products. Its business model is built on technology-driven delivery of financial services.</t>
  </si>
  <si>
    <t>ALLY FINANCIAL INC</t>
  </si>
  <si>
    <t>02005N</t>
  </si>
  <si>
    <t>ALLY</t>
  </si>
  <si>
    <t>Xactly Corp</t>
  </si>
  <si>
    <t>Xactly Corp provides cloud-based incentive compensation management (ICM) software. Financial institutions and fintechs use ICM to manage sales commissions and employee performance-based pay.</t>
  </si>
  <si>
    <t>XACTLY CORP</t>
  </si>
  <si>
    <t>98386L</t>
  </si>
  <si>
    <t>XTLY</t>
  </si>
  <si>
    <t>Applied Microsystems Corp</t>
  </si>
  <si>
    <t>Applied Microsystems Corp manufactured development tools for embedded systems. It was a general technology company focused on software and hardware development, not finance.</t>
  </si>
  <si>
    <t>APMC</t>
  </si>
  <si>
    <t>Investors Financial Svcs Corp</t>
  </si>
  <si>
    <t>Investors Financial Services Corp was a financial services company involved in custody and fund administration. These are traditional back-office services for the investment industry.</t>
  </si>
  <si>
    <t>INVESTORS FINANCIAL SVCS CP</t>
  </si>
  <si>
    <t>IFIN</t>
  </si>
  <si>
    <t>IFIN.1</t>
  </si>
  <si>
    <t>EAVN</t>
  </si>
  <si>
    <t>Think New Ideas Inc</t>
  </si>
  <si>
    <t>Think New Ideas Inc. was an internet professional services firm, offering web design and e-business solutions. They could have provided crucial technology development for financial companies establishing an online presence.</t>
  </si>
  <si>
    <t>THINK NEW IDEAS INC</t>
  </si>
  <si>
    <t>THNK</t>
  </si>
  <si>
    <t>THNK.1</t>
  </si>
  <si>
    <t>Kodiak Sciences Inc</t>
  </si>
  <si>
    <t>Kodiak Sciences Inc. is a biopharmaceutical company focused on retinal diseases. It operates in the biotechnology sector, not financial technology.</t>
  </si>
  <si>
    <t>KODIAK SCIENCES INC</t>
  </si>
  <si>
    <t>50015M</t>
  </si>
  <si>
    <t>KOD</t>
  </si>
  <si>
    <t>HealthCare Financial Partners</t>
  </si>
  <si>
    <t>It's a healthcare finance company that provides funding and financial solutions to healthcare providers</t>
  </si>
  <si>
    <t>HEALTHCARE FINL PARTNERS INC</t>
  </si>
  <si>
    <t>42219W</t>
  </si>
  <si>
    <t>HCFP</t>
  </si>
  <si>
    <t>HCF.1</t>
  </si>
  <si>
    <t>Netcreations Inc</t>
  </si>
  <si>
    <t>Netcreations Inc. was an internet advertising and marketing company. Its focus was on online advertising,</t>
  </si>
  <si>
    <t>NETCREATIONS INC</t>
  </si>
  <si>
    <t>64110N</t>
  </si>
  <si>
    <t>NTCR</t>
  </si>
  <si>
    <t>Alzamend Neuro Inc</t>
  </si>
  <si>
    <t>Alzamend Neuro Inc. is a biopharmaceutical company focused on neurological disorders. It operates in the biotechnology sector, unrelated to financial technology.</t>
  </si>
  <si>
    <t>02262M</t>
  </si>
  <si>
    <t>ALZN</t>
  </si>
  <si>
    <t>Pegasystems Inc</t>
  </si>
  <si>
    <t>Pegasystems provides software for customer engagement and digital process automation. Financial institutions widely use Pega for CRM, BPM, and regulatory compliance, directly supporting their operations.</t>
  </si>
  <si>
    <t>PEGASYSTEMS INC</t>
  </si>
  <si>
    <t>PEGA</t>
  </si>
  <si>
    <t>Model N Inc</t>
  </si>
  <si>
    <t>Model N Inc. provides revenue management solutions primarily for the life sciences and high-tech industries. While it deals with financial aspects, its specific industry focus makes it not a general fintech company.</t>
  </si>
  <si>
    <t>MODEL N INC</t>
  </si>
  <si>
    <t>MODN</t>
  </si>
  <si>
    <t>Emageon Inc</t>
  </si>
  <si>
    <t>Emageon Inc. provided medical imaging and information solutions. It was a healthcare IT company, not financial.</t>
  </si>
  <si>
    <t>EMAGEON INC</t>
  </si>
  <si>
    <t>29076V</t>
  </si>
  <si>
    <t>EMAG</t>
  </si>
  <si>
    <t>EMAG.2</t>
  </si>
  <si>
    <t>Evolving Systems Inc</t>
  </si>
  <si>
    <t>Evolving Systems Inc. provided software and services for customer management and activation, primarily for telecom. Financial companies also need robust systems for managing customer relationships and services.</t>
  </si>
  <si>
    <t>SYMBOLIC LOGIC INC</t>
  </si>
  <si>
    <t>30049R</t>
  </si>
  <si>
    <t>EVOL</t>
  </si>
  <si>
    <t>Green Dot Corp</t>
  </si>
  <si>
    <t>Green Dot Corp is a financial technology company offering prepaid debit cards and banking services. They leverage technology to serve a broad consumer base, including those underserved by traditional banks.</t>
  </si>
  <si>
    <t>GREEN DOT CORP</t>
  </si>
  <si>
    <t>39304D</t>
  </si>
  <si>
    <t>GDOT</t>
  </si>
  <si>
    <t>ServiceNow Inc</t>
  </si>
  <si>
    <t>ServiceNow provides a cloud-based platform for workflow automation and IT service management. Fintechs use ServiceNow for internal operations, IT support, and optimizing business processes.</t>
  </si>
  <si>
    <t>SERVICENOW INC</t>
  </si>
  <si>
    <t>81762P</t>
  </si>
  <si>
    <t>NOW</t>
  </si>
  <si>
    <t>Ramp Networks Inc</t>
  </si>
  <si>
    <t>Ramp Networks Inc. provided network access devices, primarily for small businesses. It was a networking hardware company, not financial technology.</t>
  </si>
  <si>
    <t>RAMP NETWORKS INC</t>
  </si>
  <si>
    <t>RAMP</t>
  </si>
  <si>
    <t>RAMP.1</t>
  </si>
  <si>
    <t>Chordiant Software Inc</t>
  </si>
  <si>
    <t>Chordiant Software Inc. provided customer relationship management (CRM) software, particularly for contact centers. Financial institutions used this for customer service and engagement.</t>
  </si>
  <si>
    <t>CHORDIANT SOFTWARE INC</t>
  </si>
  <si>
    <t>CHRD</t>
  </si>
  <si>
    <t>CHRD.</t>
  </si>
  <si>
    <t>IGM Biosciences Inc</t>
  </si>
  <si>
    <t>IGM Biosciences Inc. is a biotechnology company focused on therapeutic antibodies. It operates in the biotech sector, unrelated to financial technology.</t>
  </si>
  <si>
    <t>IGM BIOSCIENCES INC</t>
  </si>
  <si>
    <t>IGMS</t>
  </si>
  <si>
    <t>Mirum Pharmaceuticals Inc</t>
  </si>
  <si>
    <t>Mirum Pharmaceuticals Inc. is a biopharmaceutical company focused on rare liver diseases. It operates in the biotech sector, unrelated to financial technology.</t>
  </si>
  <si>
    <t>MIRUM PHARMACEUTICALS INC</t>
  </si>
  <si>
    <t>MIRM</t>
  </si>
  <si>
    <t>Advanced Communication Systems</t>
  </si>
  <si>
    <t>Advanced Communication Systems (ACS) focuses on providing business phone systems and communication solutions.</t>
  </si>
  <si>
    <t>ADV COMMUNICATION SYSTEM INC</t>
  </si>
  <si>
    <t>00750X</t>
  </si>
  <si>
    <t>ACSC</t>
  </si>
  <si>
    <t>Switch Inc</t>
  </si>
  <si>
    <t>Switch Inc. provides data center and colocation services. Fintech companies rely on secure and high-availability data centers for their critical infrastructure and data storage.</t>
  </si>
  <si>
    <t>SWITCH INC</t>
  </si>
  <si>
    <t>87105L</t>
  </si>
  <si>
    <t>SWCH</t>
  </si>
  <si>
    <t>WebMD Health Corp</t>
  </si>
  <si>
    <t>WebMD Health Corp is a leading provider of health information services. It operates in the healthcare information industry, not financial technology.</t>
  </si>
  <si>
    <t>WEBMD HEALTH CORP</t>
  </si>
  <si>
    <t>94770V</t>
  </si>
  <si>
    <t>WBMD</t>
  </si>
  <si>
    <t>Huron Consulting Group Inc</t>
  </si>
  <si>
    <t>Huron Consulting Group provides consulting services across various industries, including financial services. They support fintechs through strategic, operational, and technology consulting.</t>
  </si>
  <si>
    <t>HURON CONSULTING GROUP INC</t>
  </si>
  <si>
    <t>HURN</t>
  </si>
  <si>
    <t>AppliedTheory Corp</t>
  </si>
  <si>
    <t>AppliedTheory Corp was an internet infrastructure and managed services provider. It was a general internet technology company, not financial.</t>
  </si>
  <si>
    <t>APPLIEDTHEORY CORP</t>
  </si>
  <si>
    <t>03828R</t>
  </si>
  <si>
    <t>ATHY</t>
  </si>
  <si>
    <t>ATHYQ</t>
  </si>
  <si>
    <t>Pasithea Therapeutics Corp</t>
  </si>
  <si>
    <t>Pasithea Therapeutics Corp is a biopharmaceutical company focused on neurological disorders. It operates in the biotech sector, unrelated to financial technology.</t>
  </si>
  <si>
    <t>70261F</t>
  </si>
  <si>
    <t>KTTA</t>
  </si>
  <si>
    <t>Datalogix International</t>
  </si>
  <si>
    <t>Datalogix International was a data analytics and marketing company specializing in consumer purchase data. Fintech companies use such data for targeted marketing, risk assessment, and understanding consumer behavior.</t>
  </si>
  <si>
    <t>DATALOGIX INTERNATIONAL INC</t>
  </si>
  <si>
    <t>DLGX</t>
  </si>
  <si>
    <t>ZipRealty Inc</t>
  </si>
  <si>
    <t>ZipRealty Inc. was an online real estate brokerage. While online, its core business was facilitating property transactions, not financial technology.</t>
  </si>
  <si>
    <t>ZIPREALTY INC</t>
  </si>
  <si>
    <t>98974V</t>
  </si>
  <si>
    <t>ZIPR</t>
  </si>
  <si>
    <t>Immunome Inc</t>
  </si>
  <si>
    <t>Immunome Inc. is a biotechnology company focused on antibody therapeutics. It operates in the biotech sector, unrelated to financial technology</t>
  </si>
  <si>
    <t>IMMUNOME INC</t>
  </si>
  <si>
    <t>45257U</t>
  </si>
  <si>
    <t>IMNM</t>
  </si>
  <si>
    <t>SciQuest Inc</t>
  </si>
  <si>
    <t>SciQuest Inc. provided spend management and e-procurement software. Financial institutions utilize such software for managing their internal purchasing and supply chain.</t>
  </si>
  <si>
    <t>SCIQUEST INC</t>
  </si>
  <si>
    <t>80908T</t>
  </si>
  <si>
    <t>SQI</t>
  </si>
  <si>
    <t>OpenTable Inc</t>
  </si>
  <si>
    <t>OpenTable Inc. provides online restaurant reservations. It operates in the hospitality technology sector, not financial.</t>
  </si>
  <si>
    <t>OPENTABLE INC</t>
  </si>
  <si>
    <t>68372A</t>
  </si>
  <si>
    <t>OPEN</t>
  </si>
  <si>
    <t>OPEN.4</t>
  </si>
  <si>
    <t>Marketo Inc</t>
  </si>
  <si>
    <t>Marketo Inc. provided marketing automation software. Fintech companies use marketing automation to manage customer journeys, nurture leads, and execute targeted campaigns.</t>
  </si>
  <si>
    <t>MARKETO INC</t>
  </si>
  <si>
    <t>57063L</t>
  </si>
  <si>
    <t>MKTO</t>
  </si>
  <si>
    <t>Anaplan Inc</t>
  </si>
  <si>
    <t>Anaplan Inc. provides a cloud-native platform for connected planning. Financial institutions use Anaplan for financial planning, budgeting, forecasting, and other operational planning needs.</t>
  </si>
  <si>
    <t>ANAPLAN INC</t>
  </si>
  <si>
    <t>03272L</t>
  </si>
  <si>
    <t>PLAN</t>
  </si>
  <si>
    <t>Talk City Inc</t>
  </si>
  <si>
    <t>Talk City Inc. operated online chat and community platforms. It was an internet content and community company, not financial.</t>
  </si>
  <si>
    <t>TCTY</t>
  </si>
  <si>
    <t>DIMAC Corp</t>
  </si>
  <si>
    <t>DIMAC Corp was a direct marketing services company. Its core business was providing marketing services, not financial technology.</t>
  </si>
  <si>
    <t>DIMAC CORP</t>
  </si>
  <si>
    <t>DMC</t>
  </si>
  <si>
    <t>DMC.1</t>
  </si>
  <si>
    <t>Signature Bank NY</t>
  </si>
  <si>
    <t>Signature Bank was a traditional commercial bank. While it may have offered digital services, its core model was traditional banking, not fintech.</t>
  </si>
  <si>
    <t>SIGNATURE BANK/NY</t>
  </si>
  <si>
    <t>82669G</t>
  </si>
  <si>
    <t>SBNY</t>
  </si>
  <si>
    <t>Tri-S Security Corp</t>
  </si>
  <si>
    <t>Tri-S Security Corp provided security services and products. It operated in the physical security industry, unrelated to financial technology.</t>
  </si>
  <si>
    <t>TRI-S SECURITY CORP</t>
  </si>
  <si>
    <t>TRIS</t>
  </si>
  <si>
    <t>TRIS.1</t>
  </si>
  <si>
    <t>Enterprise Systems Inc</t>
  </si>
  <si>
    <t>Enterprise Systems Inc. likely provided enterprise-level IT solutions or consulting. If these services were directed at financial institutions, they would support fintech.</t>
  </si>
  <si>
    <t>ENTERPRISE SYSTEMS INC</t>
  </si>
  <si>
    <t>ESIX</t>
  </si>
  <si>
    <t>ESIX.1</t>
  </si>
  <si>
    <t>Prime Response Inc</t>
  </si>
  <si>
    <t>Prime Response Inc. provided customer relationship management (CRM) software for the telecommunications and utility industries. Its focus was not primarily financial.</t>
  </si>
  <si>
    <t>PRIME RESPONSE INC</t>
  </si>
  <si>
    <t>74158B</t>
  </si>
  <si>
    <t>PRME</t>
  </si>
  <si>
    <t>PRME.1</t>
  </si>
  <si>
    <t>Bumble Inc</t>
  </si>
  <si>
    <t>Bumble Inc. operates online dating and social networking applications. Its core business is social connection, not financial services.</t>
  </si>
  <si>
    <t>BUMBLE INC</t>
  </si>
  <si>
    <t>12047B</t>
  </si>
  <si>
    <t>BMBL</t>
  </si>
  <si>
    <t>Register.com Inc</t>
  </si>
  <si>
    <t>Register.com Inc. was a domain name registrar and web services provider. Fintech companies need domain names and web presence, making this a supporting service.</t>
  </si>
  <si>
    <t>REGISTER.COM INC</t>
  </si>
  <si>
    <t>75914G</t>
  </si>
  <si>
    <t>RCOM</t>
  </si>
  <si>
    <t>RCOM.1</t>
  </si>
  <si>
    <t>SeaCube Container Leasing Ltd</t>
  </si>
  <si>
    <t>SeaCube Container Leasing Ltd leases intermodal containers. It operates in the logistics and leasing industry, not financial technology.</t>
  </si>
  <si>
    <t>SEACUBE CONTAINER LEASING</t>
  </si>
  <si>
    <t>G79978</t>
  </si>
  <si>
    <t>BOX</t>
  </si>
  <si>
    <t>BOX.2</t>
  </si>
  <si>
    <t>Sutro Biopharma Inc</t>
  </si>
  <si>
    <t>Sutro Biopharma Inc. is a biopharmaceutical company developing protein therapeutics. It operates in the biotechnology sector, unrelated to financial technology.</t>
  </si>
  <si>
    <t>SUTRO BIOPHARMA INC</t>
  </si>
  <si>
    <t>STRO</t>
  </si>
  <si>
    <t>Individual Inc</t>
  </si>
  <si>
    <t>Individual Inc. was an early internet company focused on personalized news and information delivery. It was a content delivery platform, not financial.</t>
  </si>
  <si>
    <t>INDIVIDUAL INC</t>
  </si>
  <si>
    <t>INDV</t>
  </si>
  <si>
    <t>INDV.1</t>
  </si>
  <si>
    <t>E2open Inc</t>
  </si>
  <si>
    <t>E2open Inc. provides cloud-based supply chain management software. While crucial for many businesses, its direct focus is on supply chain, not financial technology.</t>
  </si>
  <si>
    <t>E2OPEN INC</t>
  </si>
  <si>
    <t>29788A</t>
  </si>
  <si>
    <t>EOPN</t>
  </si>
  <si>
    <t>Muse Technologies Inc</t>
  </si>
  <si>
    <t>Muse Technologies Inc. developed software for data visualization and analytics, often for business intelligence. It was a general software company, not financial.</t>
  </si>
  <si>
    <t>MUSE TECHNOLOGIES INC</t>
  </si>
  <si>
    <t>MUZE</t>
  </si>
  <si>
    <t>Ideaya Biosciences Inc</t>
  </si>
  <si>
    <t>Ideaya Biosciences Inc. is a biotechnology company focused on oncology. It operates in the biotech sector, unrelated to financial technology.</t>
  </si>
  <si>
    <t>IDEAYA BIOSCIENCES INC</t>
  </si>
  <si>
    <t>45166A</t>
  </si>
  <si>
    <t>IDYA</t>
  </si>
  <si>
    <t>Western Fidelity Funding Inc</t>
  </si>
  <si>
    <t>Western Fidelity Funding Inc sounds like a traditional lending or funding company. Its name suggests traditional finance, not technology innovation within finance.</t>
  </si>
  <si>
    <t>WESTERN FIDELITY FUNDING INC</t>
  </si>
  <si>
    <t>WFFI</t>
  </si>
  <si>
    <t>3WFFI</t>
  </si>
  <si>
    <t>Scopus Technology Inc</t>
  </si>
  <si>
    <t>Scopus Technology Inc. provided customer relationship management (CRM) software. Fintechs, like any customer-facing business, rely on CRM for managing client interactions.</t>
  </si>
  <si>
    <t>SCOPUS TECHNOLOGY INC</t>
  </si>
  <si>
    <t>SCOP</t>
  </si>
  <si>
    <t>SCOP.</t>
  </si>
  <si>
    <t>Packeteer Inc</t>
  </si>
  <si>
    <t>Packeteer Inc. provided network traffic management and optimization solutions. It was a networking technology company, not financial.</t>
  </si>
  <si>
    <t>PACKETEER INC</t>
  </si>
  <si>
    <t>PKTR</t>
  </si>
  <si>
    <t>Akouos Inc</t>
  </si>
  <si>
    <t>Akouos Inc. is a precision genetic medicine company focused on inner ear disorders. It operates in the biotechnology sector, unrelated to financial technology.</t>
  </si>
  <si>
    <t>AKOUOS INC</t>
  </si>
  <si>
    <t>00973J</t>
  </si>
  <si>
    <t>AKUS</t>
  </si>
  <si>
    <t>Segue Software Inc</t>
  </si>
  <si>
    <t>Segue Software Inc. provided software for application testing and quality management. Fintechs need robust and bug-free software, making testing tools essential.</t>
  </si>
  <si>
    <t>SEGUE SOFTWARE INC</t>
  </si>
  <si>
    <t>SEGU</t>
  </si>
  <si>
    <t>CyberMedia Inc</t>
  </si>
  <si>
    <t>CyberMedia Inc. was a publishing company focused on computer magazines and online content. It was a media company, not financial.</t>
  </si>
  <si>
    <t>CYBERMEDIA INC</t>
  </si>
  <si>
    <t>23249P</t>
  </si>
  <si>
    <t>CYBR</t>
  </si>
  <si>
    <t>CYBR.1</t>
  </si>
  <si>
    <t>InforMax Inc</t>
  </si>
  <si>
    <t>InforMax Inc. provided bioinformatics software for the life sciences industry. It was a specialized software company, not financial.</t>
  </si>
  <si>
    <t>INFORMAX INC</t>
  </si>
  <si>
    <t>45677N</t>
  </si>
  <si>
    <t>INMX</t>
  </si>
  <si>
    <t>pcOrder.com</t>
  </si>
  <si>
    <t>provided e-commerce solutions for buying computer products. It was an e-commerce platform for goods, not financial services.</t>
  </si>
  <si>
    <t>PCORDER.COM INC</t>
  </si>
  <si>
    <t>70453H</t>
  </si>
  <si>
    <t>PCOR</t>
  </si>
  <si>
    <t>PCOR.3</t>
  </si>
  <si>
    <t>Globe Business Resources Inc</t>
  </si>
  <si>
    <t>Globe Business Resources Inc. is primarily described as a provider of rental services, specifically temporary corporate housing and furniture rental services.</t>
  </si>
  <si>
    <t>GLOBE BUSINESS RESOURCES INC</t>
  </si>
  <si>
    <t>GLBE</t>
  </si>
  <si>
    <t>GLBE.1</t>
  </si>
  <si>
    <t>McAfee.com Corp</t>
  </si>
  <si>
    <t>McAfee.com Corp (now part of Intel/Trellix) provided cybersecurity software and services. Fintech companies critically depend on strong cybersecurity to protect sensitive data and transactions.</t>
  </si>
  <si>
    <t>MCAFEE.COM CORP</t>
  </si>
  <si>
    <t>MCAF</t>
  </si>
  <si>
    <t>MCAF.1</t>
  </si>
  <si>
    <t>First Mercury Financial Corp</t>
  </si>
  <si>
    <t>First Mercury Financial Corp was an insurance holding company specializing in commercial insurance. It was a traditional insurance provider, not fintech.</t>
  </si>
  <si>
    <t>FIRST MERCURY FINANCIAL CORP</t>
  </si>
  <si>
    <t>FMR</t>
  </si>
  <si>
    <t>Somerset Hills Bancorp</t>
  </si>
  <si>
    <t>Somerset Hills Bancorp was a traditional bank holding company.</t>
  </si>
  <si>
    <t>SOMERSET HILLS BANCORP</t>
  </si>
  <si>
    <t>SOMH</t>
  </si>
  <si>
    <t>Rocket Fuel Inc</t>
  </si>
  <si>
    <t>Rocket Fuel Inc. provided programmatic advertising and marketing technology. Fintech companies use such platforms for customer acquisition and digital marketing.</t>
  </si>
  <si>
    <t>ROCKET FUEL INC</t>
  </si>
  <si>
    <t>FUEL</t>
  </si>
  <si>
    <t>Guidance Software Inc</t>
  </si>
  <si>
    <t>Guidance Software Inc. provided digital forensics and e-discovery software. Financial institutions and fintechs need these tools for fraud investigation, compliance, and legal discovery.</t>
  </si>
  <si>
    <t>GUIDANCE SOFTWARE INC</t>
  </si>
  <si>
    <t>GUID</t>
  </si>
  <si>
    <t>EarthLink Network Inc</t>
  </si>
  <si>
    <t>EarthLink Network Inc. was an internet service provider. It provided internet access, not financial services or technology.</t>
  </si>
  <si>
    <t>EARTHLINK NETWORK INC</t>
  </si>
  <si>
    <t>ELNK</t>
  </si>
  <si>
    <t>ELNK.</t>
  </si>
  <si>
    <t>Jackson Hewitt Tax Service Inc</t>
  </si>
  <si>
    <t>Jackson Hewitt Tax Service Inc. provides tax preparation services. While it deals with finance, it's a traditional service business, not a technology innovator in finance.</t>
  </si>
  <si>
    <t>JACKSON HEWITT TAX SERVICE</t>
  </si>
  <si>
    <t>JTX</t>
  </si>
  <si>
    <t>JHTXQ</t>
  </si>
  <si>
    <t>Award Software International</t>
  </si>
  <si>
    <t>Award Software International provided BIOS software for computers. It was a low-level software company, not financial.</t>
  </si>
  <si>
    <t>AWRD</t>
  </si>
  <si>
    <t>Telechips Corp</t>
  </si>
  <si>
    <t>Telechips Corp is a semiconductor company that designs chips for multimedia and communication devices. It's a hardware company, not financial.</t>
  </si>
  <si>
    <t>TELECHIPS CORP</t>
  </si>
  <si>
    <t>TCHP</t>
  </si>
  <si>
    <t>3TCHPE</t>
  </si>
  <si>
    <t>Forescout Technologies Inc</t>
  </si>
  <si>
    <t>Forescout Technologies Inc. provides network access control and security solutions. Fintechs require strong network security to protect their infrastructure and data.</t>
  </si>
  <si>
    <t>FORESCOUT TECH INC</t>
  </si>
  <si>
    <t>34553D</t>
  </si>
  <si>
    <t>FSCT</t>
  </si>
  <si>
    <t>nFront Inc</t>
  </si>
  <si>
    <t xml:space="preserve"> nFront Inc. developed software for identity management and security. While security is critical, their primary focus was general IT security, not specifically financial.
</t>
  </si>
  <si>
    <t>NFRONT INC</t>
  </si>
  <si>
    <t>65334N</t>
  </si>
  <si>
    <t>NFNT</t>
  </si>
  <si>
    <t>NFNT.1</t>
  </si>
  <si>
    <t>Kinnate Biopharma Inc</t>
  </si>
  <si>
    <t>Kinnate Biopharma Inc. is a biopharmaceutical company focused on precision oncology. It operates in the biotech sector, unrelated to financial technology</t>
  </si>
  <si>
    <t>KINNATE BIOPHARMA INC</t>
  </si>
  <si>
    <t>49705R</t>
  </si>
  <si>
    <t>KNTE</t>
  </si>
  <si>
    <t>Codex DNA Inc</t>
  </si>
  <si>
    <t>Codex DNA Inc. is a synthetic biology company. It operates in the biotechnology sector, unrelated to financial technology.</t>
  </si>
  <si>
    <t>DNAY</t>
  </si>
  <si>
    <t>Hoovers Inc</t>
  </si>
  <si>
    <t>Hoovers Inc. provided business information and insights. Financial institutions and fintechs use business data for market analysis, lead generation, and due diligence.</t>
  </si>
  <si>
    <t>HOOVERS INC</t>
  </si>
  <si>
    <t>HOOV</t>
  </si>
  <si>
    <t>At Home Corp</t>
  </si>
  <si>
    <t>At Home Corp is a home décor retail chain. It operates in the retail sector, not financial.</t>
  </si>
  <si>
    <t>ATHM</t>
  </si>
  <si>
    <t>ConnectOne Bancorp Inc</t>
  </si>
  <si>
    <t>ConnectOne Bancorp Inc. is a traditional bank holding company.</t>
  </si>
  <si>
    <t>CONNECTONE BANCORP INC -OLD</t>
  </si>
  <si>
    <t>20786U</t>
  </si>
  <si>
    <t>CNOB</t>
  </si>
  <si>
    <t>CNOB.1</t>
  </si>
  <si>
    <t>Marchex Inc</t>
  </si>
  <si>
    <t>Marchex Inc. provides conversational analytics and call tracking software. Fintechs use such tools to analyze customer interactions, especially in call centers, for sales and service improvement.</t>
  </si>
  <si>
    <t>MARCHEX INC</t>
  </si>
  <si>
    <t>56624R</t>
  </si>
  <si>
    <t>MCHX</t>
  </si>
  <si>
    <t>Gossamer Bio Inc</t>
  </si>
  <si>
    <t>Gossamer Bio Inc. is a biopharmaceutical company focused on immunology and oncology. It operates in the biotech sector, unrelated to financial technology.</t>
  </si>
  <si>
    <t>GOSSAMER BIO INC</t>
  </si>
  <si>
    <t>38341P</t>
  </si>
  <si>
    <t>GOSS</t>
  </si>
  <si>
    <t>FlyCast Communications</t>
  </si>
  <si>
    <t>FlyCast Communications was an internet advertising network. It was an advertising company, not financial.</t>
  </si>
  <si>
    <t>FLYCAST COMMUNICATIONS CORP</t>
  </si>
  <si>
    <t>FCST</t>
  </si>
  <si>
    <t>FCST.</t>
  </si>
  <si>
    <t>Zymergen Inc</t>
  </si>
  <si>
    <t>Zymergen Inc. was a synthetic biology company. It operated in the biotechnology sector, unrelated to financial technology.</t>
  </si>
  <si>
    <t>ZYMERGEN INC</t>
  </si>
  <si>
    <t>98985X</t>
  </si>
  <si>
    <t>ZY</t>
  </si>
  <si>
    <t>SysComm International Corp</t>
  </si>
  <si>
    <t>general IT firm, not specifically fintech.</t>
  </si>
  <si>
    <t>SYCM</t>
  </si>
  <si>
    <t>Splunk Inc</t>
  </si>
  <si>
    <t>Splunk Inc. provides a data platform for security, observability, and operational intelligence. Fintechs use Splunk for monitoring systems, detecting anomalies, and cybersecurity.</t>
  </si>
  <si>
    <t>SPLUNK INC</t>
  </si>
  <si>
    <t>SPLK</t>
  </si>
  <si>
    <t>Anchor Bancorp</t>
  </si>
  <si>
    <t>Anchor Bancorp is a traditional bank holding company.</t>
  </si>
  <si>
    <t>ANCB</t>
  </si>
  <si>
    <t>Upstart Holdings Inc</t>
  </si>
  <si>
    <t>Upstart Holdings Inc. is an AI lending platform that partners with banks and credit unions. They use artificial intelligence to automate and improve the loan application and approval process.</t>
  </si>
  <si>
    <t>UPSTART HOLDINGS INC</t>
  </si>
  <si>
    <t>91680M</t>
  </si>
  <si>
    <t>UPST</t>
  </si>
  <si>
    <t>MINDBODY Inc</t>
  </si>
  <si>
    <t>MINDBODY Inc. provides cloud-based business management software for the wellness services industry. It's a vertical software company, not financial.</t>
  </si>
  <si>
    <t>MINDBODY INC</t>
  </si>
  <si>
    <t>60255W</t>
  </si>
  <si>
    <t>MB</t>
  </si>
  <si>
    <t>MB.3</t>
  </si>
  <si>
    <t>Dyax Corp</t>
  </si>
  <si>
    <t>Dyax Corp was a biopharmaceutical company. It operated in the biotech sector, unrelated to financial technology.</t>
  </si>
  <si>
    <t>DYAX CORP</t>
  </si>
  <si>
    <t>26746E</t>
  </si>
  <si>
    <t>DYAX</t>
  </si>
  <si>
    <t>Peritus Software Services Inc</t>
  </si>
  <si>
    <t>Peritus Software Services Inc. provided professional services and software for enterprise systems. They would support fintech by assisting with software development and integration.</t>
  </si>
  <si>
    <t>PERITUS SOFTWARE SVCS INC</t>
  </si>
  <si>
    <t>PTUS</t>
  </si>
  <si>
    <t>3PTUS</t>
  </si>
  <si>
    <t>Nuvalent Inc</t>
  </si>
  <si>
    <t>Nuvalent Inc. is a biopharmaceutical company focused on cancer therapeutics. It operates in the biotech sector, unrelated to financial technology.</t>
  </si>
  <si>
    <t>NUVALENT INC</t>
  </si>
  <si>
    <t>NUVL</t>
  </si>
  <si>
    <t>NetSuite Inc</t>
  </si>
  <si>
    <t>NetSuite provides cloud-based enterprise resource planning (ERP) software. Many fintech companies and financial institutions use ERP systems for their core business operations, financial management, and accounting.</t>
  </si>
  <si>
    <t>NETSUITE INC</t>
  </si>
  <si>
    <t>64118Q</t>
  </si>
  <si>
    <t>N</t>
  </si>
  <si>
    <t>Kana Communications Inc</t>
  </si>
  <si>
    <t>Kana Communications provided customer service and contact center solutions. Financial institutions and fintechs rely on such software for managing customer interactions and support.</t>
  </si>
  <si>
    <t>KANA</t>
  </si>
  <si>
    <t>Interactive Pictures Corp</t>
  </si>
  <si>
    <t>Interactive Pictures Corp was involved in panoramic imaging technology. It was a multimedia technology company, not financial.</t>
  </si>
  <si>
    <t>INTERACTIVE PICTURES CORP</t>
  </si>
  <si>
    <t>45839N</t>
  </si>
  <si>
    <t>IPIX</t>
  </si>
  <si>
    <t>IPIX.</t>
  </si>
  <si>
    <t>BNCCORP Inc,Bismarck,ND</t>
  </si>
  <si>
    <t>This is a traditional bank holding company. Its core business is offering standard banking services.</t>
  </si>
  <si>
    <t>BusyBox.com Inc</t>
  </si>
  <si>
    <t>BusyBox provides a set of Unix utilities for embedded Linux systems. It's a foundational software tool for operating systems, not financial technology.</t>
  </si>
  <si>
    <t>BUSYBOX.COM INC</t>
  </si>
  <si>
    <t>BUSY</t>
  </si>
  <si>
    <t>Gates Industrial Corp Plc</t>
  </si>
  <si>
    <t>Gates Industrial Corp Plc manufactures power transmission and fluid power products, like belts and hoses. It's an industrial manufacturing company, unrelated to financial technology.</t>
  </si>
  <si>
    <t>GATES INDUSTRIAL CORP PLC</t>
  </si>
  <si>
    <t>G39108</t>
  </si>
  <si>
    <t>GTES</t>
  </si>
  <si>
    <t>DocuSign Inc</t>
  </si>
  <si>
    <t>DocuSign provides electronic signature and digital transaction management solutions. Fintech companies and financial institutions extensively use DocuSign for legally binding agreements, accelerating digital workflows.</t>
  </si>
  <si>
    <t>DOCUSIGN INC</t>
  </si>
  <si>
    <t>DOCU</t>
  </si>
  <si>
    <t>Software.com Inc</t>
  </si>
  <si>
    <t>software developer, not specifically financial technology.</t>
  </si>
  <si>
    <t>SOFTWARE.COM INC</t>
  </si>
  <si>
    <t>83402P</t>
  </si>
  <si>
    <t>SWCM</t>
  </si>
  <si>
    <t>Freshworks Inc</t>
  </si>
  <si>
    <t>Freshworks offers customer engagement and IT service management software. Fintech companies use these tools for customer support, sales, and internal operations, as evidenced by its use by fintech M-KOPA.</t>
  </si>
  <si>
    <t>FRESHWORKS INC</t>
  </si>
  <si>
    <t>FRSH</t>
  </si>
  <si>
    <t>Talmer Bancorp Inc,Troy,MI</t>
  </si>
  <si>
    <t>This was a traditional bank holding company. Its core business was providing conventional banking services.</t>
  </si>
  <si>
    <t>TALMER BANCORP INC</t>
  </si>
  <si>
    <t>87482X</t>
  </si>
  <si>
    <t>TLMR</t>
  </si>
  <si>
    <t>Visio Corp</t>
  </si>
  <si>
    <t>Visio Corp developed diagramming and vector graphics software. It was a general software company, not financial.</t>
  </si>
  <si>
    <t>VISIO CORP</t>
  </si>
  <si>
    <t>VSIO</t>
  </si>
  <si>
    <t>Customers Bancorp Inc</t>
  </si>
  <si>
    <t>This is a traditional bank holding company. Its core business is providing conventional banking services.</t>
  </si>
  <si>
    <t>CUSTOMERS BANCORP INC</t>
  </si>
  <si>
    <t>23204G</t>
  </si>
  <si>
    <t>CUUU</t>
  </si>
  <si>
    <t>CUBI</t>
  </si>
  <si>
    <t>North Pointe Holdings Corp</t>
  </si>
  <si>
    <t>North Pointe Holdings Corp was an insurance company. It operated in the traditional insurance sector, not insurtech.</t>
  </si>
  <si>
    <t>NORTH POINTE HOLDINGS CORP</t>
  </si>
  <si>
    <t>NPTE</t>
  </si>
  <si>
    <t>Vanstar Corp</t>
  </si>
  <si>
    <t>Vanstar Corp was a computer services and solutions provider, primarily focused on network integration and IT support. It was a general IT services firm, not financial technology.</t>
  </si>
  <si>
    <t>VANSTAR CORP</t>
  </si>
  <si>
    <t>92208M</t>
  </si>
  <si>
    <t>VST</t>
  </si>
  <si>
    <t>VST.1</t>
  </si>
  <si>
    <t>GAN Ltd</t>
  </si>
  <si>
    <t>GAN Ltd is a B2B supplier of internet gaming software and content, including online casino and sports betting platforms. These platforms involve real-money transactions, placing them within the broader digital finance sphere.</t>
  </si>
  <si>
    <t>GAN LTD</t>
  </si>
  <si>
    <t>G3728V</t>
  </si>
  <si>
    <t>GAN</t>
  </si>
  <si>
    <t>Heartland Payment Systems Inc</t>
  </si>
  <si>
    <t>Heartland Payment Systems provides payment processing and business solutions. They are directly involved in facilitating financial transactions, making them a key fintech player, now part of Global Payments.</t>
  </si>
  <si>
    <t>HEARTLAND PAYMENT SYSTEMS</t>
  </si>
  <si>
    <t>42235N</t>
  </si>
  <si>
    <t>HPY</t>
  </si>
  <si>
    <t>Lason Inc</t>
  </si>
  <si>
    <t>Lason Inc. provided document and data management services, including scanning and archiving. It was a business process outsourcing firm, not financial technology.</t>
  </si>
  <si>
    <t>51808R</t>
  </si>
  <si>
    <t>LSSN</t>
  </si>
  <si>
    <t>BrightStar Information</t>
  </si>
  <si>
    <t>This name is broad, but "Brightstar Capital Partners" is a private equity firm that invests in fintech, not a fintech company itself.</t>
  </si>
  <si>
    <t>BRIGHTSTAR INFO TECH GRP INC</t>
  </si>
  <si>
    <t>10947N</t>
  </si>
  <si>
    <t>BTSR</t>
  </si>
  <si>
    <t>Eidos Therapeutics Inc</t>
  </si>
  <si>
    <t>Eidos Therapeutics is a clinical-stage biopharmaceutical company. It operates in the biotechnology sector, unrelated to financial technology.</t>
  </si>
  <si>
    <t>EIDOS THERAPEUTICS INC</t>
  </si>
  <si>
    <t>28249H</t>
  </si>
  <si>
    <t>EIDX</t>
  </si>
  <si>
    <t>EIDX.</t>
  </si>
  <si>
    <t>Resonate Inc</t>
  </si>
  <si>
    <t>Resonate Inc. provides consumer intelligence and data solutions. Fintechs use data analytics to understand customer behavior and market trends for better product development and marketing.</t>
  </si>
  <si>
    <t>RESONATE INC</t>
  </si>
  <si>
    <t>76115Q</t>
  </si>
  <si>
    <t>RSNT</t>
  </si>
  <si>
    <t>Hometrust Bancshares Inc</t>
  </si>
  <si>
    <t>HOMETRUST BANCSHARES INC</t>
  </si>
  <si>
    <t>HTB</t>
  </si>
  <si>
    <t>ROSS Technology Inc(Fujitsu)</t>
  </si>
  <si>
    <t>ROSS Technology (part of Fujitsu) developed high-performance microprocessors and related technologies. It was a hardware and semiconductor company, not financial.</t>
  </si>
  <si>
    <t>ROSS TECHNOLOGY INC</t>
  </si>
  <si>
    <t>RTEC</t>
  </si>
  <si>
    <t>3RTEC</t>
  </si>
  <si>
    <t>The Active Network Inc</t>
  </si>
  <si>
    <t>The Active Network Inc. provided online registration and management solutions for activities and events. It operated in the event management software sector, not financial.</t>
  </si>
  <si>
    <t>ACTIVE NETWORK INC</t>
  </si>
  <si>
    <t>00506D</t>
  </si>
  <si>
    <t>ACTV</t>
  </si>
  <si>
    <t>ACTV.2</t>
  </si>
  <si>
    <t>BayCom Corp</t>
  </si>
  <si>
    <t>BAYCOM CORP</t>
  </si>
  <si>
    <t>07272M</t>
  </si>
  <si>
    <t>BCML</t>
  </si>
  <si>
    <t>Azitra Inc</t>
  </si>
  <si>
    <t>Azitra Inc. is a clinical-stage biopharmaceutical company focused on dermatology. It operates in the biotechnology sector, unrelated to financial technology.</t>
  </si>
  <si>
    <t>05479L</t>
  </si>
  <si>
    <t>AZTR</t>
  </si>
  <si>
    <t>Vantagemed Corp</t>
  </si>
  <si>
    <t>Vantagemed Corp provided revenue cycle management solutions for healthcare providers. It was a healthcare IT and services company, not financial.</t>
  </si>
  <si>
    <t>VANTAGEMED CORP</t>
  </si>
  <si>
    <t>92208W</t>
  </si>
  <si>
    <t>VMDC</t>
  </si>
  <si>
    <t>3VMDC</t>
  </si>
  <si>
    <t>Alantec Corp</t>
  </si>
  <si>
    <t>Alantec Corp developed network switching and routing equipment. It was a networking hardware company, not financial.</t>
  </si>
  <si>
    <t>ALTC</t>
  </si>
  <si>
    <t>ViryaNet Ltd</t>
  </si>
  <si>
    <t>ViryaNet Ltd provided field service management software. It operated in the enterprise software sector for service industries, not financial.</t>
  </si>
  <si>
    <t>VIRYANET LTD</t>
  </si>
  <si>
    <t>M97540</t>
  </si>
  <si>
    <t>VRYA</t>
  </si>
  <si>
    <t>VRYAF</t>
  </si>
  <si>
    <t>Edgewise Therapeutics Inc</t>
  </si>
  <si>
    <t>Edgewise Therapeutics is a clinical-stage biopharmaceutical company focused on muscle disorders. It operates in the biotechnology sector, unrelated to financial technology.</t>
  </si>
  <si>
    <t>EDGEWISE THERA INC</t>
  </si>
  <si>
    <t>28036F</t>
  </si>
  <si>
    <t>EWTX</t>
  </si>
  <si>
    <t>Launch Media Inc</t>
  </si>
  <si>
    <t>Launch Media Inc. was an online music and entertainment company. It operated in the digital media content industry, not financial.</t>
  </si>
  <si>
    <t>LAUNCH MEDIA INC</t>
  </si>
  <si>
    <t>LAUN</t>
  </si>
  <si>
    <t>KnowBe4 Inc</t>
  </si>
  <si>
    <t>KnowBe4 Inc. provides security awareness training and simulated phishing platforms. Fintech companies rely heavily on robust cybersecurity and employee training to prevent breaches.</t>
  </si>
  <si>
    <t>KNOWBE4 INC</t>
  </si>
  <si>
    <t>49926T</t>
  </si>
  <si>
    <t>KNBE</t>
  </si>
  <si>
    <t>Longeveron Inc</t>
  </si>
  <si>
    <t>Longeveron Inc. is a clinical-stage biotechnology company focused on regenerative medicine. It operates in the biotechnology sector, unrelated to financial technology.</t>
  </si>
  <si>
    <t>54303L</t>
  </si>
  <si>
    <t>LGVN</t>
  </si>
  <si>
    <t>Xoom.com Inc</t>
  </si>
  <si>
    <t>Xoom.com Inc. (now part of PayPal) was an online money transfer service. It directly facilitated digital financial transactions across borders, making it a clear fintech company.</t>
  </si>
  <si>
    <t>98413F</t>
  </si>
  <si>
    <t>XMCM</t>
  </si>
  <si>
    <t>Instil Bio Inc</t>
  </si>
  <si>
    <t>Instil Bio Inc. is a clinical-stage biopharmaceutical company focused on cell therapies. It operates in the biotechnology sector, unrelated to financial technology.</t>
  </si>
  <si>
    <t>INSTIL BIO INC</t>
  </si>
  <si>
    <t>45783C</t>
  </si>
  <si>
    <t>TIL</t>
  </si>
  <si>
    <t>Kofax Image Products Inc</t>
  </si>
  <si>
    <t>Kofax Image Products Inc. (now Kofax Inc.) provided software for document capture, process automation, and intelligent automation. Financial institutions use these tools for digitizing workflows and processing documents.</t>
  </si>
  <si>
    <t>KOFAX IMAGE PRODUCTS INC</t>
  </si>
  <si>
    <t>KOFX</t>
  </si>
  <si>
    <t>Checkmate Pharmaceuticals Inc</t>
  </si>
  <si>
    <t>Checkmate Pharmaceuticals Inc. was a biopharmaceutical company focused on cancer therapies. It operated in the biotechnology sector, unrelated to financial technology.</t>
  </si>
  <si>
    <t>CHECKMATE PHARMACE INC</t>
  </si>
  <si>
    <t>CMPI</t>
  </si>
  <si>
    <t>Radiant Systems Inc</t>
  </si>
  <si>
    <t>Radiant Systems Inc. provided point-of-sale (POS) and hospitality management systems. It was a retail and hospitality tech company, not financial.</t>
  </si>
  <si>
    <t>RADIANT SYSTEMS INC</t>
  </si>
  <si>
    <t>75025N</t>
  </si>
  <si>
    <t>RADS</t>
  </si>
  <si>
    <t>Candel Therapeutics Inc</t>
  </si>
  <si>
    <t>Candel Therapeutics Inc. is a clinical-stage biopharmaceutical company focused on cancer immunotherapies. It operates in the biotechnology sector, unrelated to financial technology.</t>
  </si>
  <si>
    <t>CANDEL THERAPTCS INC</t>
  </si>
  <si>
    <t>CADL</t>
  </si>
  <si>
    <t>Ness Tech Inc</t>
  </si>
  <si>
    <t>Ness Tech Inc. is an IT services and solutions company. If they provide technology consulting or development services to financial institutions, they would support fintech.</t>
  </si>
  <si>
    <t>NESS TECHNOLOGIES INC</t>
  </si>
  <si>
    <t>64104X</t>
  </si>
  <si>
    <t>NSTC.1</t>
  </si>
  <si>
    <t>Silo Pharma Inc</t>
  </si>
  <si>
    <t>Silo Pharma Inc. is a biopharmaceutical company focused on psychedelic-based therapeutics. It operates in the biotechnology sector, unrelated to financial technology.</t>
  </si>
  <si>
    <t>SILO PHARMA INC</t>
  </si>
  <si>
    <t>82711P</t>
  </si>
  <si>
    <t>SILO</t>
  </si>
  <si>
    <t>Cohen &amp; Steers Inc</t>
  </si>
  <si>
    <t>Cohen &amp; Steers Inc. is a traditional asset management firm specializing in real assets. Their core business is investment management, not technology-driven financial innovation.</t>
  </si>
  <si>
    <t>COHEN &amp; STEERS INC</t>
  </si>
  <si>
    <t>19247A</t>
  </si>
  <si>
    <t>CNS</t>
  </si>
  <si>
    <t>Poshmark Inc</t>
  </si>
  <si>
    <t>Poshmark Inc. operates a social marketplace for new and used fashion. It's an e-commerce platform for goods, not financial services.</t>
  </si>
  <si>
    <t>POSHMARK INC</t>
  </si>
  <si>
    <t>73739W</t>
  </si>
  <si>
    <t>POSH</t>
  </si>
  <si>
    <t>Tollgrade Communications Inc</t>
  </si>
  <si>
    <t>Tollgrade Communications Inc. provided telecommunications testing and monitoring solutions. It was a telecom technology company, not financial.</t>
  </si>
  <si>
    <t>TOLLGRADE COMMUNICATIONS INC</t>
  </si>
  <si>
    <t>TLGD</t>
  </si>
  <si>
    <t>Multex.com Inc</t>
  </si>
  <si>
    <t>provided online financial information and research, including analyst reports. Its platform aggregated and delivered financial data digitally, making it a fintech company.</t>
  </si>
  <si>
    <t>MULTEX.COM INC</t>
  </si>
  <si>
    <t>MLTX</t>
  </si>
  <si>
    <t>MLTX.1</t>
  </si>
  <si>
    <t>Digitas Inc</t>
  </si>
  <si>
    <t>Digitas Inc. is a digital marketing and advertising agency. While they might work with financial clients, their core business is marketing services, not financial technology.</t>
  </si>
  <si>
    <t>DIGITAS INC</t>
  </si>
  <si>
    <t>25388K</t>
  </si>
  <si>
    <t>DTAS</t>
  </si>
  <si>
    <t>DTAS.</t>
  </si>
  <si>
    <t>Autoweb.com Inc</t>
  </si>
  <si>
    <t>Autoweb.com Inc. is an automotive publication and marketing company. While Tracxn categorizes some of its reports under "FinTech - US Quarterly Funding Report," its core business is auto publishing/marketing, not direct financial services or technology innovation in finance.</t>
  </si>
  <si>
    <t>AWEB</t>
  </si>
  <si>
    <t>Go2Net Inc</t>
  </si>
  <si>
    <t>Go2Net Inc. was an internet portal and e-commerce company. It focused on general web content and online shopping, not financial technology.</t>
  </si>
  <si>
    <t>GO2NET INC</t>
  </si>
  <si>
    <t>GNET</t>
  </si>
  <si>
    <t>GNET.1</t>
  </si>
  <si>
    <t>Arista Networks Inc</t>
  </si>
  <si>
    <t>Arista Networks Inc. provides high-performance networking solutions for data centers and cloud computing. Fintechs rely on robust and fast networks for their operations, making Arista a key enabler.</t>
  </si>
  <si>
    <t>ANET</t>
  </si>
  <si>
    <t>i3 Mobile Inc</t>
  </si>
  <si>
    <t>mobile technology or software company. It's not inherently financial technology.</t>
  </si>
  <si>
    <t>I3 MOBILE INC</t>
  </si>
  <si>
    <t>IIIM</t>
  </si>
  <si>
    <t>America Online Latin America</t>
  </si>
  <si>
    <t>America Online Latin America was an internet service provider and content portal focused on Latin American markets. Its core business was internet access and content, not financial services.</t>
  </si>
  <si>
    <t>AMERICA ONLNE LTN AMR  -CL A</t>
  </si>
  <si>
    <t>02365B</t>
  </si>
  <si>
    <t>AOLA</t>
  </si>
  <si>
    <t>AOLAQ</t>
  </si>
  <si>
    <t>AOL</t>
  </si>
  <si>
    <t>Responsys Inc</t>
  </si>
  <si>
    <t>Responsys Inc. provided cloud-based marketing automation software. Fintech companies utilize marketing automation platforms to engage with customers, manage campaigns, and drive growth.</t>
  </si>
  <si>
    <t>RESPONSYS INC</t>
  </si>
  <si>
    <t>MKTG</t>
  </si>
  <si>
    <t>National Processing Inc</t>
  </si>
  <si>
    <t>National Processing Inc. was involved in credit card and payment processing services. They directly enabled financial transactions, making them a key player in the fintech ecosystem.</t>
  </si>
  <si>
    <t>NATIONAL PROCESSING INC</t>
  </si>
  <si>
    <t>NAP</t>
  </si>
  <si>
    <t>NAP.2</t>
  </si>
  <si>
    <t>NCC</t>
  </si>
  <si>
    <t>Compass Diversified Trust</t>
  </si>
  <si>
    <t>Compass Diversified Trust is a private equity firm that acquires and manages businesses across various industries. While they invest, they are not a fintech company themselves.</t>
  </si>
  <si>
    <t>COMPASS DIVERSIFIED HOLDINGS</t>
  </si>
  <si>
    <t>20451Q</t>
  </si>
  <si>
    <t>CODI</t>
  </si>
  <si>
    <t>Predictive Systems Inc</t>
  </si>
  <si>
    <t>Predictive Systems Inc. (established 2023) harnesses AI to transform industries and empower businesses, with a focus on AI-first products and solutions. If they apply their AI solutions to financial data analysis, fraud detection, or risk management for financial institutions, they would support fintech.</t>
  </si>
  <si>
    <t>PREDICTIVE SYSTEMS INC</t>
  </si>
  <si>
    <t>74036W</t>
  </si>
  <si>
    <t>PRDS</t>
  </si>
  <si>
    <t>PRDS.</t>
  </si>
  <si>
    <t>TriNet Group Inc</t>
  </si>
  <si>
    <t>TriNet Group Inc. provides human resources outsourcing services, including payroll and benefits administration. Financial institutions and fintechs use these services to manage their workforce efficiently.</t>
  </si>
  <si>
    <t>TRINET GROUP INC</t>
  </si>
  <si>
    <t>TNET</t>
  </si>
  <si>
    <t>RightNow Technologies Inc</t>
  </si>
  <si>
    <t>RightNow Technologies Inc. provided cloud-based customer relationship management (CRM) and customer service software. Fintech companies, like any customer-facing business, use CRM for client interactions and support.</t>
  </si>
  <si>
    <t>RIGHTNOW TECHNOLOGIES INC</t>
  </si>
  <si>
    <t>76657R</t>
  </si>
  <si>
    <t>RNOW</t>
  </si>
  <si>
    <t>Farm Family Holdings Inc</t>
  </si>
  <si>
    <t>Farm Family Holdings Inc. is an insurance company, primarily focused on agricultural and related insurance products. It's a traditional insurer, not insurtech.</t>
  </si>
  <si>
    <t>FARM FAMILY HOLDINGS INC</t>
  </si>
  <si>
    <t>FFH</t>
  </si>
  <si>
    <t>FFH.2</t>
  </si>
  <si>
    <t>Nextcard Inc</t>
  </si>
  <si>
    <t>Nextcard Inc. was one of the first companies to issue credit cards online and offer instant online approval. Their entirely online model for credit card issuance made them a significant fintech innovator.</t>
  </si>
  <si>
    <t>NEXTCARD INC</t>
  </si>
  <si>
    <t>65332K</t>
  </si>
  <si>
    <t>NXCD</t>
  </si>
  <si>
    <t>NXCDQ</t>
  </si>
  <si>
    <t>Anteon International Corp</t>
  </si>
  <si>
    <t>Anteon International Corp was an information technology and systems integration company, primarily serving government clients. It was a general IT services firm, not financial technology.</t>
  </si>
  <si>
    <t>ANTEON INTERNATIONAL CORP</t>
  </si>
  <si>
    <t>03674E</t>
  </si>
  <si>
    <t>ANT</t>
  </si>
  <si>
    <t>ANT.2</t>
  </si>
  <si>
    <t>Echelon Corp</t>
  </si>
  <si>
    <t>Echelon Corp was a pioneer in control networking technology for smart infrastructure, primarily energy management and industrial control. It was an IoT/control systems company, not financial.</t>
  </si>
  <si>
    <t>ECHELON CORP</t>
  </si>
  <si>
    <t>27874N</t>
  </si>
  <si>
    <t>ELON</t>
  </si>
  <si>
    <t>ELON.1</t>
  </si>
  <si>
    <t>Alerus Financial Corp</t>
  </si>
  <si>
    <t>Alerus Financial Corp is a traditional diversified financial services company, offering banking, retirement, and wealth management services. While they use technology, their core business is traditional finance.</t>
  </si>
  <si>
    <t>ALERUS FINANCIAL CORP</t>
  </si>
  <si>
    <t>01446U</t>
  </si>
  <si>
    <t>ALRS</t>
  </si>
  <si>
    <t>Rosetta Inpharmatics Inc</t>
  </si>
  <si>
    <t>Rosetta Inpharmatics Inc. was a biotechnology company focused on gene expression analysis. It was in the biotech sector, not financial technology.</t>
  </si>
  <si>
    <t>ROSETTA INPHARMATICS INC</t>
  </si>
  <si>
    <t>RSTA</t>
  </si>
  <si>
    <t>RSTA.1</t>
  </si>
  <si>
    <t>TriTeal Corp</t>
  </si>
  <si>
    <t>TriTeal Corp developed desktop environments for Unix systems. It was a software company focused on operating system interfaces, not financial</t>
  </si>
  <si>
    <t>TRITEAL CORP</t>
  </si>
  <si>
    <t>TEAL</t>
  </si>
  <si>
    <t>TEALQ</t>
  </si>
  <si>
    <t>HilleVax Inc</t>
  </si>
  <si>
    <t>HilleVax Inc. is a biopharmaceutical company focused on the development of novel vaccines. It operates in the biotechnology sector, unrelated to financial technology.</t>
  </si>
  <si>
    <t>HILLEVAX INC</t>
  </si>
  <si>
    <t>43157M</t>
  </si>
  <si>
    <t>HLVX</t>
  </si>
  <si>
    <t>Jive Software Inc</t>
  </si>
  <si>
    <t>Jive Software Inc. provided enterprise collaboration software. It focused on internal communication and social networking for businesses, not financial services.</t>
  </si>
  <si>
    <t>JIVE SOFTWARE INC</t>
  </si>
  <si>
    <t>47760A</t>
  </si>
  <si>
    <t>JIVE</t>
  </si>
  <si>
    <t>JIVE.1</t>
  </si>
  <si>
    <t>Constellation Pharm Inc</t>
  </si>
  <si>
    <t>Constellation Pharm Inc. was a biopharmaceutical company focused on epigenetics. It operated in the biotechnology sector, unrelated to financial technology.</t>
  </si>
  <si>
    <t>CONSTELLATION PHARMCTCL</t>
  </si>
  <si>
    <t>CNST</t>
  </si>
  <si>
    <t>Inhibikase Therapeutics Inc</t>
  </si>
  <si>
    <t>Inhibikase Therapeutics Inc. is a clinical-stage pharmaceutical company developing small-molecule therapeutics. It operates in the biotechnology sector, unrelated to financial technology.</t>
  </si>
  <si>
    <t>INHIBIKASE THERAPE INC</t>
  </si>
  <si>
    <t>45719W</t>
  </si>
  <si>
    <t>IKT</t>
  </si>
  <si>
    <t>Darwin Professional</t>
  </si>
  <si>
    <t>Darwin Professional (now Darwin Recruitment) is a recruitment firm specializing in technology, engineering, and life sciences. They provide staffing services, not financial technology.</t>
  </si>
  <si>
    <t>DARWIN PROFESSIONAL UNDWRTS</t>
  </si>
  <si>
    <t>DR</t>
  </si>
  <si>
    <t>Skyward Specialty Ins Grp Inc</t>
  </si>
  <si>
    <t>Skyward Specialty Insurance Group Inc. is a traditional property and casualty insurance company. It operates in the traditional insurance sector, not insurtech.</t>
  </si>
  <si>
    <t>SKYWARD SPECIALTY INS GP INC</t>
  </si>
  <si>
    <t>SKWD</t>
  </si>
  <si>
    <t>WED</t>
  </si>
  <si>
    <t>Bank United Corp,Houston,Texas</t>
  </si>
  <si>
    <t>BNKU</t>
  </si>
  <si>
    <t>Argonaut Technologies Inc</t>
  </si>
  <si>
    <t>Argonaut Technologies Inc. provided laboratory automation and combinatorial chemistry tools for drug discovery. It was a life sciences technology company, not financial.</t>
  </si>
  <si>
    <t>AGNT</t>
  </si>
  <si>
    <t>ChannelAdvisor Corp</t>
  </si>
  <si>
    <t>ChannelAdvisor Corp provides cloud-based e-commerce software for retailers and brands. It focuses on online sales and marketing, not financial services.</t>
  </si>
  <si>
    <t>CHANNELADVISOR CORP</t>
  </si>
  <si>
    <t>ECOM</t>
  </si>
  <si>
    <t>US Search.com Inc</t>
  </si>
  <si>
    <t>US Search.com Inc. provided public record search and background check services. It was a data information service, not financial technology.</t>
  </si>
  <si>
    <t>US SEARCH.COM INC</t>
  </si>
  <si>
    <t>SRCH</t>
  </si>
  <si>
    <t>SRCH.1</t>
  </si>
  <si>
    <t>KLOC</t>
  </si>
  <si>
    <t>InterVideo Inc</t>
  </si>
  <si>
    <t>InterVideo Inc. was a software publisher specializing in multimedia-related programs like DVD playback. It was a consumer software company, not financial.</t>
  </si>
  <si>
    <t>INTERVIDEO INC</t>
  </si>
  <si>
    <t>46114Y</t>
  </si>
  <si>
    <t>IVII</t>
  </si>
  <si>
    <t>IVII.</t>
  </si>
  <si>
    <t>Decibel Therapeutics Inc</t>
  </si>
  <si>
    <t>Decibel Therapeutics Inc. is a biotechnology company developing medicines to protect and restore hearing. It operates in the biotech sector, unrelated to financial technology.</t>
  </si>
  <si>
    <t>DECIBEL THERAPEUTICS INC</t>
  </si>
  <si>
    <t>24343R</t>
  </si>
  <si>
    <t>DBTX</t>
  </si>
  <si>
    <t>Mission Critical Software Inc</t>
  </si>
  <si>
    <t>Mission Critical Software Inc. provided enterprise software solutions, particularly for Microsoft environments, focusing on systems management. Financial institutions rely on robust system management for their IT infrastructure.</t>
  </si>
  <si>
    <t>MISSION CRITICAL SOFTWARE</t>
  </si>
  <si>
    <t>MCSW</t>
  </si>
  <si>
    <t>iBasis Inc</t>
  </si>
  <si>
    <t>iBasis Inc. was a wholesale voice over IP (VoIP) and data carrier. It operated in the telecommunications sector, not financial technology.</t>
  </si>
  <si>
    <t>IBASIS INC</t>
  </si>
  <si>
    <t>IBAS</t>
  </si>
  <si>
    <t>Personnel Management Inc</t>
  </si>
  <si>
    <t xml:space="preserve">Personnel Management Inc. (PMI) provides professional employer organization (PEO) services, including payroll and HR outsourcing. It is an HR services company, not financial technology.
</t>
  </si>
  <si>
    <t>PERSONNEL MANAGEMENT INC</t>
  </si>
  <si>
    <t>71534B</t>
  </si>
  <si>
    <t>TPMI</t>
  </si>
  <si>
    <t>Excite Inc</t>
  </si>
  <si>
    <t>Excite Inc. was an early internet portal and search engine. It focused on web content and search, not financial services.</t>
  </si>
  <si>
    <t>EXCITE INC</t>
  </si>
  <si>
    <t>XCIT</t>
  </si>
  <si>
    <t>OutSource International Inc</t>
  </si>
  <si>
    <t>OutSource International Inc. was a staffing and human resources services company. It operated in the staffing industry, unrelated to financial technology.</t>
  </si>
  <si>
    <t>OUTSOURCE INTERNATIONAL INC</t>
  </si>
  <si>
    <t>OSIX</t>
  </si>
  <si>
    <t>OSIXQ</t>
  </si>
  <si>
    <t>Netcentives Inc</t>
  </si>
  <si>
    <t>Netcentives Inc. created online loyalty and incentive programs where users earned digital "miles" or rewards for online purchases. This involved digital currency-like systems and reward management tied to commerce.</t>
  </si>
  <si>
    <t>NETCENTIVES INC</t>
  </si>
  <si>
    <t>64108P</t>
  </si>
  <si>
    <t>NCNT</t>
  </si>
  <si>
    <t>NCNTQ</t>
  </si>
  <si>
    <t>Cowen Group Inc</t>
  </si>
  <si>
    <t>Cowen Group Inc. was a traditional financial services firm offering investment banking, research, and asset management. Its business was traditional finance, not fintech innovation.</t>
  </si>
  <si>
    <t>COWEN INC</t>
  </si>
  <si>
    <t>COWN</t>
  </si>
  <si>
    <t>GLE</t>
  </si>
  <si>
    <t>RISCORP Inc</t>
  </si>
  <si>
    <t>RISCORP Inc. was an insurance company, particularly involved in workers' compensation and specialty lines. It operated in the traditional insurance sector, not insurtech.</t>
  </si>
  <si>
    <t>RISCORP INC  -CL A</t>
  </si>
  <si>
    <t>RISC</t>
  </si>
  <si>
    <t>3RISC</t>
  </si>
  <si>
    <t>Saba Software Inc</t>
  </si>
  <si>
    <t>Saba Software Inc. provided learning management systems (LMS) and talent management software. It operated in the HR technology/e-learning sector, not financial.</t>
  </si>
  <si>
    <t>SABA SOFTWARE INC</t>
  </si>
  <si>
    <t>SABA</t>
  </si>
  <si>
    <t>SABA.1</t>
  </si>
  <si>
    <t>Kezar Life Sciences Inc</t>
  </si>
  <si>
    <t>Kezar Life Sciences Inc. is a clinical-stage biotechnology company developing small molecule therapies. It operates in the biotech sector, unrelated to financial technology.</t>
  </si>
  <si>
    <t>49372L</t>
  </si>
  <si>
    <t>KZR</t>
  </si>
  <si>
    <t>i2 Technologies Inc</t>
  </si>
  <si>
    <t>i2 Technologies Inc. provided supply chain management and optimization software. It focused on industrial and logistics processes, not financial technology.</t>
  </si>
  <si>
    <t>I2 TECHNOLOGIES INC</t>
  </si>
  <si>
    <t>ITWO</t>
  </si>
  <si>
    <t>ITWO.1</t>
  </si>
  <si>
    <t>Coinmach Laundry Corp</t>
  </si>
  <si>
    <t>Coinmach Laundry Corp provided laundry equipment and services, typically for multi-housing properties. It's a service and equipment company, unrelated to finance.</t>
  </si>
  <si>
    <t>COINMACH LAUNDRY CORP</t>
  </si>
  <si>
    <t>19259L</t>
  </si>
  <si>
    <t>WDRY</t>
  </si>
  <si>
    <t>Applied Molecular Transport</t>
  </si>
  <si>
    <t>Applied Molecular Transport was a biopharmaceutical company focused on drug delivery platforms. It operated in the biotech sector, unrelated to financial technology.</t>
  </si>
  <si>
    <t>APPLIED MOLEC TRAN INC</t>
  </si>
  <si>
    <t>03824M</t>
  </si>
  <si>
    <t>AMTI</t>
  </si>
  <si>
    <t>Isocor</t>
  </si>
  <si>
    <t>Isocor developed messaging and directory software, primarily for email and network directories. It was a networking software company, not financial.</t>
  </si>
  <si>
    <t>ISOCOR</t>
  </si>
  <si>
    <t>ICOR</t>
  </si>
  <si>
    <t>ICOR.1</t>
  </si>
  <si>
    <t>Abacus Direct Corp</t>
  </si>
  <si>
    <t>Abacus Direct Corp provided direct marketing and database marketing services, leveraging consumer data. It was a marketing services company, not financial technology.</t>
  </si>
  <si>
    <t>ABDR</t>
  </si>
  <si>
    <t>Boingo Wireless Inc</t>
  </si>
  <si>
    <t>Boingo Wireless Inc. provides Wi-Fi and cellular services in public venues. It's a telecommunications and internet access company, not financial.</t>
  </si>
  <si>
    <t>BOINGO WIRELESS INC</t>
  </si>
  <si>
    <t>09739C</t>
  </si>
  <si>
    <t>WIFI</t>
  </si>
  <si>
    <t>Molina Healthcare Inc</t>
  </si>
  <si>
    <t>Molina Healthcare Inc. is a managed care organization providing healthcare services. It operates in the healthcare sector, not financial technology.</t>
  </si>
  <si>
    <t>MOLINA HEALTHCARE INC</t>
  </si>
  <si>
    <t>60855R</t>
  </si>
  <si>
    <t>MOH</t>
  </si>
  <si>
    <t>Amylyx Pharmaceuticals Inc</t>
  </si>
  <si>
    <t>Amylyx Pharmaceuticals Inc. is a pharmaceutical company developing therapies for neurodegenerative diseases. It operates in the pharmaceutical sector, unrelated to financial technology.</t>
  </si>
  <si>
    <t>AMYLYX PHARMACEUTICALS INC</t>
  </si>
  <si>
    <t>03237H</t>
  </si>
  <si>
    <t>AMLX</t>
  </si>
  <si>
    <t>GeoWorks Inc</t>
  </si>
  <si>
    <t>GeoWorks Inc. developed operating systems for mobile and handheld devices. It was a software company focused on mobile platforms, not financial.</t>
  </si>
  <si>
    <t>GWRX</t>
  </si>
  <si>
    <t>Specialty Underwriters Inc</t>
  </si>
  <si>
    <t>Specialty Underwriters Inc. (SUI) provides extended warranty and service contract administration. It's related to insurance services, but not technology-driven financial innovation.</t>
  </si>
  <si>
    <t>SPECIALTY UNDERWRITERS</t>
  </si>
  <si>
    <t>84751T</t>
  </si>
  <si>
    <t>SUAI</t>
  </si>
  <si>
    <t>Taylor Capital Group Inc</t>
  </si>
  <si>
    <t>Taylor Capital Group Inc. was a traditional bank holding company. Its core business was providing conventional banking services.</t>
  </si>
  <si>
    <t>TAYLOR CAPITAL GROUP INC</t>
  </si>
  <si>
    <t>TAYC</t>
  </si>
  <si>
    <t>Enact Holdings Inc</t>
  </si>
  <si>
    <t>Enact Holdings Inc. is a private mortgage insurance provider. It operates in the traditional insurance sector, specifically mortgage insurance, not insurtech.</t>
  </si>
  <si>
    <t>ENACT HOLDINGS INC</t>
  </si>
  <si>
    <t>29249E</t>
  </si>
  <si>
    <t>ACT</t>
  </si>
  <si>
    <t>Logility Inc</t>
  </si>
  <si>
    <t>Logility Inc. provides supply chain planning and optimization software. It focuses on logistics and operational planning, not financial technology.</t>
  </si>
  <si>
    <t>LOGILITY INC</t>
  </si>
  <si>
    <t>54140Y</t>
  </si>
  <si>
    <t>LGTY</t>
  </si>
  <si>
    <t>LGTY.1</t>
  </si>
  <si>
    <t>AMSWA</t>
  </si>
  <si>
    <t>Art Technology Group Inc</t>
  </si>
  <si>
    <t>Art Technology Group Inc. (ATG) provided e-commerce and web personalization software. Financial institutions developing online portals or personalized banking experiences could use ATG's technology.</t>
  </si>
  <si>
    <t>ART TECHNOLOGY GROUP INC</t>
  </si>
  <si>
    <t>04289L</t>
  </si>
  <si>
    <t>ARTG</t>
  </si>
  <si>
    <t>UserTesting Inc</t>
  </si>
  <si>
    <t>UserTesting Inc. provides a platform for user experience (UX) research and usability testing. Fintech companies rely on UX testing to design intuitive and user-friendly financial applications.</t>
  </si>
  <si>
    <t>USERTESTING INC</t>
  </si>
  <si>
    <t>91734E</t>
  </si>
  <si>
    <t>USER</t>
  </si>
  <si>
    <t>Pinnacle Financial Partners,TN</t>
  </si>
  <si>
    <t>t's a traditional bank that utilizes modern digital tools like mobile and online banking to enhance its services.</t>
  </si>
  <si>
    <t>PINNACLE FINL PARTNERS INC</t>
  </si>
  <si>
    <t>0001115055</t>
  </si>
  <si>
    <t>72346Q</t>
  </si>
  <si>
    <t>PNFP</t>
  </si>
  <si>
    <t>ShowCase Corp</t>
  </si>
  <si>
    <t>ShowCase Corp was a business intelligence software company, not directly involved in financial services or fintech.</t>
  </si>
  <si>
    <t>SHOWCASE CORP</t>
  </si>
  <si>
    <t>0001060311</t>
  </si>
  <si>
    <t>82539P</t>
  </si>
  <si>
    <t>SHWC</t>
  </si>
  <si>
    <t>1999-06-29</t>
  </si>
  <si>
    <t>Gulfstream Int Grp Inc</t>
  </si>
  <si>
    <t>Gulfstream International Group Inc. operated in the airline and aviation sector, not financial technology.</t>
  </si>
  <si>
    <t>GULFSTREAM INTL GROUP INC</t>
  </si>
  <si>
    <t>0001405419</t>
  </si>
  <si>
    <t>402738</t>
  </si>
  <si>
    <t>GIA</t>
  </si>
  <si>
    <t>GIGIQ</t>
  </si>
  <si>
    <t>2007-12-14</t>
  </si>
  <si>
    <t>Imageware Systems Inc</t>
  </si>
  <si>
    <t>Imageware Systems provides identity management software crucial for secure digital financial transactions, but does not offer financial services itself.</t>
  </si>
  <si>
    <t>IMAGEWARE SYSTEMS INC</t>
  </si>
  <si>
    <t>0000941685</t>
  </si>
  <si>
    <t>45245S</t>
  </si>
  <si>
    <t>IW</t>
  </si>
  <si>
    <t>IWSY</t>
  </si>
  <si>
    <t>PAREXEL International Corp</t>
  </si>
  <si>
    <t>PAREXEL International Corporation is a clinical research organization, unrelated to financial technology.</t>
  </si>
  <si>
    <t>PAREXEL INTERNATIONAL CORP</t>
  </si>
  <si>
    <t>0000799729,0001892518</t>
  </si>
  <si>
    <t>699462</t>
  </si>
  <si>
    <t>PRXL</t>
  </si>
  <si>
    <t>1995-11-22</t>
  </si>
  <si>
    <t>Bandwidth Inc</t>
  </si>
  <si>
    <t>Bandwidth Inc provides cloud communication platforms (CPaaS) that fintech companies use for customer interaction and authentication, acting as an enabler.</t>
  </si>
  <si>
    <t>BANDWIDTH INC</t>
  </si>
  <si>
    <t>0001514416</t>
  </si>
  <si>
    <t>05988J</t>
  </si>
  <si>
    <t>BAND</t>
  </si>
  <si>
    <t>2017-11-10</t>
  </si>
  <si>
    <t>James River Group Inc</t>
  </si>
  <si>
    <t>James River Group Inc. is an insurance company, operating in traditional finance without specific core fintech services.</t>
  </si>
  <si>
    <t>0001213896,0001325177,0001325177</t>
  </si>
  <si>
    <t>470359</t>
  </si>
  <si>
    <t>JRVR</t>
  </si>
  <si>
    <t>Anebulo Pharmaceuticals Inc</t>
  </si>
  <si>
    <t>Anebulo Pharmaceuticals Inc. is a biotechnology company, with no involvement in financial technology.</t>
  </si>
  <si>
    <t>0001815974</t>
  </si>
  <si>
    <t>034569</t>
  </si>
  <si>
    <t>ANEB</t>
  </si>
  <si>
    <t>Twilio Inc</t>
  </si>
  <si>
    <t>Twilio Inc. offers communication APIs essential for fintech applications like two-factor authentication and notifications, but is not a financial service provider itself.</t>
  </si>
  <si>
    <t>TWILIO INC</t>
  </si>
  <si>
    <t>0001447669</t>
  </si>
  <si>
    <t>90138F</t>
  </si>
  <si>
    <t>TWLO</t>
  </si>
  <si>
    <t>2016-06-23</t>
  </si>
  <si>
    <t>Tableau Software Inc</t>
  </si>
  <si>
    <t>Tableau Software provides data visualization tools widely used by financial institutions for analysis, but is not a core fintech service.</t>
  </si>
  <si>
    <t>TABLEAU SOFTWARE INC</t>
  </si>
  <si>
    <t>0001303652</t>
  </si>
  <si>
    <t>87336U</t>
  </si>
  <si>
    <t>DATA</t>
  </si>
  <si>
    <t>2013-05-17</t>
  </si>
  <si>
    <t>Peerless Systems Corp</t>
  </si>
  <si>
    <t>Peerless Systems Corp was involved in imaging and embedded technology for digital printing,</t>
  </si>
  <si>
    <t>PEERLESS SYSTEMS CORP</t>
  </si>
  <si>
    <t>0000897893</t>
  </si>
  <si>
    <t>705536</t>
  </si>
  <si>
    <t>PRLS</t>
  </si>
  <si>
    <t>Atlas Financial Holdings Inc</t>
  </si>
  <si>
    <t>Atlas Financial Holdings Inc is an insurance holding company, operating in traditional finance without specific core fintech services.</t>
  </si>
  <si>
    <t>ATLAS FINANCIAL HOLDINGS INC</t>
  </si>
  <si>
    <t>0001539894</t>
  </si>
  <si>
    <t>G06207</t>
  </si>
  <si>
    <t>AFH</t>
  </si>
  <si>
    <t>AFHIF</t>
  </si>
  <si>
    <t>Medical Manager Corp</t>
  </si>
  <si>
    <t>Medical Manager Corp provided practice management software for healthcare, not financial technology.</t>
  </si>
  <si>
    <t>MEDICAL MANAGER CORP-OLD</t>
  </si>
  <si>
    <t>0001022147,0000850436</t>
  </si>
  <si>
    <t>58461C</t>
  </si>
  <si>
    <t>MMGR</t>
  </si>
  <si>
    <t>MMGR.</t>
  </si>
  <si>
    <t>1997-02-04</t>
  </si>
  <si>
    <t>Peoples Federal Bancshares Inc</t>
  </si>
  <si>
    <t>Peoples Federal Bancshares Inc is a traditional community bank that utilizes online and mobile banking as supporting features.</t>
  </si>
  <si>
    <t>PEOPLES FEDERAL BANCSHS INC</t>
  </si>
  <si>
    <t>0001485964</t>
  </si>
  <si>
    <t>711037</t>
  </si>
  <si>
    <t>PEOP</t>
  </si>
  <si>
    <t>2010-07-07</t>
  </si>
  <si>
    <t>PRA Health Sciences Inc</t>
  </si>
  <si>
    <t>PRA Health Sciences Inc was a clinical research organization, unrelated to financial technology.</t>
  </si>
  <si>
    <t>PRA HEALTH SCIENCES INC</t>
  </si>
  <si>
    <t>0001613859</t>
  </si>
  <si>
    <t>69354M</t>
  </si>
  <si>
    <t>PRAH</t>
  </si>
  <si>
    <t>KKR</t>
  </si>
  <si>
    <t>2014-11-13</t>
  </si>
  <si>
    <t>Software Artistry Inc</t>
  </si>
  <si>
    <t>Software Artistry Inc focused on help desk and customer support automation software, not financial technology.</t>
  </si>
  <si>
    <t>SOFTWARE ARTISTRY INC</t>
  </si>
  <si>
    <t>0000862928</t>
  </si>
  <si>
    <t>834028</t>
  </si>
  <si>
    <t>SWRT</t>
  </si>
  <si>
    <t>1995-03-02</t>
  </si>
  <si>
    <t>O2Wireless Solutions Inc</t>
  </si>
  <si>
    <t>O2Wireless Solutions Inc focused on wireless e-commerce and marketing solutions for content delivery, not core financial services.</t>
  </si>
  <si>
    <t>O2WIRELESS SOLUTIONS INC</t>
  </si>
  <si>
    <t>0001113529</t>
  </si>
  <si>
    <t>689803</t>
  </si>
  <si>
    <t>3OTWO</t>
  </si>
  <si>
    <t>2000-08-16</t>
  </si>
  <si>
    <t>PubMatic Inc</t>
  </si>
  <si>
    <t>PubMatic Inc operates a cloud infrastructure for digital advertising, facilitating financial transactions within the ad tech ecosystem.</t>
  </si>
  <si>
    <t>PUBMATIC INC</t>
  </si>
  <si>
    <t>0001422930</t>
  </si>
  <si>
    <t>74467Q</t>
  </si>
  <si>
    <t>PUBM</t>
  </si>
  <si>
    <t>2020-12-09</t>
  </si>
  <si>
    <t>Outbrain Inc</t>
  </si>
  <si>
    <t>Outbrain Inc's content recommendation platform handles financial transactions related to advertising, but its core business is ad-tech, not fintech services.</t>
  </si>
  <si>
    <t>OUTBRAIN INC</t>
  </si>
  <si>
    <t>0001454938</t>
  </si>
  <si>
    <t>69002R</t>
  </si>
  <si>
    <t>OB</t>
  </si>
  <si>
    <t>Harrington West Finl,Solvang,</t>
  </si>
  <si>
    <t>Harrington West Financial Group was a traditional financial advisory firm.</t>
  </si>
  <si>
    <t>HARRINGTON WEST FINL GROUP</t>
  </si>
  <si>
    <t>41383L</t>
  </si>
  <si>
    <t>HWFG</t>
  </si>
  <si>
    <t>HWFGQ</t>
  </si>
  <si>
    <t>BRP Grp Inc</t>
  </si>
  <si>
    <t>BRP Group is an insurance distribution firm, operating in traditional insurance brokerage, not core fintech.</t>
  </si>
  <si>
    <t>BALDWIN INSURANCE GROUP INC</t>
  </si>
  <si>
    <t>0001781755</t>
  </si>
  <si>
    <t>05589G</t>
  </si>
  <si>
    <t>BRP</t>
  </si>
  <si>
    <t>BWIN</t>
  </si>
  <si>
    <t>2019-10-24</t>
  </si>
  <si>
    <t>Ebenx Inc</t>
  </si>
  <si>
    <t>Ebenx Inc provided online employee benefits solutions, which is HR tech, not financial technology.</t>
  </si>
  <si>
    <t>EBENX INC</t>
  </si>
  <si>
    <t>0001095825</t>
  </si>
  <si>
    <t>278668</t>
  </si>
  <si>
    <t>EBNX</t>
  </si>
  <si>
    <t>TD Waterhouse Group Inc</t>
  </si>
  <si>
    <t>TD Waterhouse Group Inc. was a pioneer in online discount brokerage, providing a core digital financial platform for trading.</t>
  </si>
  <si>
    <t>TD WATERHOUSE GROUP INC</t>
  </si>
  <si>
    <t>0001085095</t>
  </si>
  <si>
    <t>872362</t>
  </si>
  <si>
    <t>TWE</t>
  </si>
  <si>
    <t>TD</t>
  </si>
  <si>
    <t>1999-06-21</t>
  </si>
  <si>
    <t>Broadcast.Com Inc</t>
  </si>
  <si>
    <t>Broadcast.Com Inc was an internet media company focused on streaming content, not financial technology.</t>
  </si>
  <si>
    <t>BROADCAST.COM INC</t>
  </si>
  <si>
    <t>0001061236</t>
  </si>
  <si>
    <t>111310</t>
  </si>
  <si>
    <t>BCST</t>
  </si>
  <si>
    <t>BCST.</t>
  </si>
  <si>
    <t>YHOO</t>
  </si>
  <si>
    <t>C-ATS Software Inc</t>
  </si>
  <si>
    <t>C-ATS Software Inc developed risk management and analytics software specifically for financial institutions, supporting their operations.</t>
  </si>
  <si>
    <t>C ATS SOFTWARE INC</t>
  </si>
  <si>
    <t>0000937266</t>
  </si>
  <si>
    <t>124778</t>
  </si>
  <si>
    <t>CATX</t>
  </si>
  <si>
    <t>CATX.1</t>
  </si>
  <si>
    <t>MSY.L</t>
  </si>
  <si>
    <t>1995-03-20</t>
  </si>
  <si>
    <t>Altiris Inc</t>
  </si>
  <si>
    <t>Altiris Inc focused on IT management software, not directly related to financial services.</t>
  </si>
  <si>
    <t>ALTIRIS INC</t>
  </si>
  <si>
    <t>0001139650</t>
  </si>
  <si>
    <t>02148M</t>
  </si>
  <si>
    <t>ATRS</t>
  </si>
  <si>
    <t>ATRS.</t>
  </si>
  <si>
    <t>Delta Finl Corp,Woodbury,NY</t>
  </si>
  <si>
    <t>Delta Financial Corp was a traditional mortgage lender, not a core fintech entity.</t>
  </si>
  <si>
    <t>DELTA FINANCIAL CORP</t>
  </si>
  <si>
    <t>0001021848</t>
  </si>
  <si>
    <t>247918</t>
  </si>
  <si>
    <t>DFC</t>
  </si>
  <si>
    <t>DFCLQ</t>
  </si>
  <si>
    <t>1996-10-31</t>
  </si>
  <si>
    <t>EXE Technologies Inc</t>
  </si>
  <si>
    <t>EXE Technologies Inc was a supply chain execution software company, not in financial technology.</t>
  </si>
  <si>
    <t>EXE TECHNOLOGIES INC</t>
  </si>
  <si>
    <t>0001047262</t>
  </si>
  <si>
    <t>301504</t>
  </si>
  <si>
    <t>EXEE</t>
  </si>
  <si>
    <t>2000-08-04</t>
  </si>
  <si>
    <t>Digital River Inc</t>
  </si>
  <si>
    <t>Digital River Inc provides e-commerce and payment processing solutions that enable online businesses to handle digital payments.</t>
  </si>
  <si>
    <t>DIGITAL RIVER INC</t>
  </si>
  <si>
    <t>0000930049,0001062530</t>
  </si>
  <si>
    <t>25388B</t>
  </si>
  <si>
    <t>DRIV</t>
  </si>
  <si>
    <t>DRIV.1</t>
  </si>
  <si>
    <t>1998-08-11</t>
  </si>
  <si>
    <t>Aztec Technology Partners Inc</t>
  </si>
  <si>
    <t>Aztec Technology Partners Inc was an IT consulting and staffing firm, not a fintech company.</t>
  </si>
  <si>
    <t>0001055458,0001055458</t>
  </si>
  <si>
    <t>05480L</t>
  </si>
  <si>
    <t>AZTC</t>
  </si>
  <si>
    <t>OFIS</t>
  </si>
  <si>
    <t>Bay Bancshares,Laporte,Texas</t>
  </si>
  <si>
    <t>Bay Bancshares Inc is a traditional bank that would utilize modern online and mobile banking as supporting features.</t>
  </si>
  <si>
    <t>BAY BANCSHARES INC</t>
  </si>
  <si>
    <t>0001046406</t>
  </si>
  <si>
    <t>07203N</t>
  </si>
  <si>
    <t>BAYB</t>
  </si>
  <si>
    <t>Houlihan Lokey Inc</t>
  </si>
  <si>
    <t>Houlihan Lokey Inc is a traditional investment bank, not a fintech company.</t>
  </si>
  <si>
    <t>HOULIHAN LOKEY INC</t>
  </si>
  <si>
    <t>0001302215</t>
  </si>
  <si>
    <t>441593</t>
  </si>
  <si>
    <t>8591</t>
  </si>
  <si>
    <t>2015-08-13</t>
  </si>
  <si>
    <t>Ryan Specialty Grp Hldg Inc</t>
  </si>
  <si>
    <t>Ryan Specialty Group is a specialty insurance firm, operating in traditional insurance, not core fintech.</t>
  </si>
  <si>
    <t>RYAN SPECIALTY HOLDINGS INC</t>
  </si>
  <si>
    <t>0001849253</t>
  </si>
  <si>
    <t>78351F</t>
  </si>
  <si>
    <t>RYAN</t>
  </si>
  <si>
    <t>Kaleido Biosciences Inc</t>
  </si>
  <si>
    <t>Kaleido Biosciences Inc was a clinical-stage biotechnology company, unrelated to financial technology.</t>
  </si>
  <si>
    <t>KALEIDO BIOSCIENCES INC</t>
  </si>
  <si>
    <t>0001751299</t>
  </si>
  <si>
    <t>483347</t>
  </si>
  <si>
    <t>KLDO</t>
  </si>
  <si>
    <t>2019-02-28</t>
  </si>
  <si>
    <t>Sonic Foundry Inc</t>
  </si>
  <si>
    <t>Sonic Foundry Inc focuses on video management and webcasting solutions, not financial technology.</t>
  </si>
  <si>
    <t>SONIC FOUNDRY INC</t>
  </si>
  <si>
    <t>0001029744</t>
  </si>
  <si>
    <t>83545R</t>
  </si>
  <si>
    <t>SFO</t>
  </si>
  <si>
    <t>SOFO</t>
  </si>
  <si>
    <t>1998-04-07</t>
  </si>
  <si>
    <t>Abgenix Inc</t>
  </si>
  <si>
    <t>Abgenix Inc was a biotechnology company, with no involvement in financial technology.</t>
  </si>
  <si>
    <t>ABGENIX INC</t>
  </si>
  <si>
    <t>0001052837</t>
  </si>
  <si>
    <t>00339B</t>
  </si>
  <si>
    <t>ABGX</t>
  </si>
  <si>
    <t>CEGE</t>
  </si>
  <si>
    <t>1998-07-01</t>
  </si>
  <si>
    <t>Xionics Document Technologies</t>
  </si>
  <si>
    <t>Xionics Document Technologies provided document imaging solutions, not financial services.</t>
  </si>
  <si>
    <t>XIONICS DOCUMENT TECHNOLGIES</t>
  </si>
  <si>
    <t>0001014586</t>
  </si>
  <si>
    <t>98412X</t>
  </si>
  <si>
    <t>XION</t>
  </si>
  <si>
    <t>1996-09-26</t>
  </si>
  <si>
    <t>Verity Inc</t>
  </si>
  <si>
    <t>Verity Inc developed enterprise search and information management software that could be used to manage financial data, but was not a financial service provider.</t>
  </si>
  <si>
    <t>VERITY INC</t>
  </si>
  <si>
    <t>0001420086,0002046519,0001671703,0001943593,0001577999,0000949956</t>
  </si>
  <si>
    <t>92343C</t>
  </si>
  <si>
    <t>VRTY</t>
  </si>
  <si>
    <t>VRTY.</t>
  </si>
  <si>
    <t>1995-10-06</t>
  </si>
  <si>
    <t>IMNET Systems Inc</t>
  </si>
  <si>
    <t>IMNET Systems Inc focused on document imaging and workflow for healthcare, not financial technology.</t>
  </si>
  <si>
    <t>IMNET SYSTEMS INC</t>
  </si>
  <si>
    <t>0000893329</t>
  </si>
  <si>
    <t>452921</t>
  </si>
  <si>
    <t>IMNT</t>
  </si>
  <si>
    <t>Mediaplex Inc</t>
  </si>
  <si>
    <t>Mediaplex Inc offered online advertising and marketing solutions, facilitating digital transactions within the ad tech ecosystem.</t>
  </si>
  <si>
    <t>MEDIAPLEX INC</t>
  </si>
  <si>
    <t>0001091621,0001106246</t>
  </si>
  <si>
    <t>58446B</t>
  </si>
  <si>
    <t>MPLX</t>
  </si>
  <si>
    <t>MPLX.1</t>
  </si>
  <si>
    <t>Digital Transmission Systems</t>
  </si>
  <si>
    <t>Digital Transmission Systems developed digital video and audio communication systems, unrelated to financial technology.</t>
  </si>
  <si>
    <t>DIGITAL TRANSMISSION SYSTEMS</t>
  </si>
  <si>
    <t>0001005179</t>
  </si>
  <si>
    <t>25387N</t>
  </si>
  <si>
    <t>DTSX</t>
  </si>
  <si>
    <t>1996-03-04</t>
  </si>
  <si>
    <t>Global Medical REIT Inc</t>
  </si>
  <si>
    <t>Global Medical REIT Inc is a real estate investment trust, not a fintech company.</t>
  </si>
  <si>
    <t>GLOBAL MEDICAL REIT</t>
  </si>
  <si>
    <t>0001533615</t>
  </si>
  <si>
    <t>37954A</t>
  </si>
  <si>
    <t>GMRE</t>
  </si>
  <si>
    <t>SeaBright Insurance Hldgs Inc</t>
  </si>
  <si>
    <t>SeaBright Insurance Holdings Inc was a traditional insurance provider, not a core fintech entity.</t>
  </si>
  <si>
    <t>SEABRIGHT HOLDINGS INC</t>
  </si>
  <si>
    <t>0001267201</t>
  </si>
  <si>
    <t>811656</t>
  </si>
  <si>
    <t>SEAB</t>
  </si>
  <si>
    <t>SBX</t>
  </si>
  <si>
    <t>2005-01-21</t>
  </si>
  <si>
    <t>Calamos Asset Management Inc</t>
  </si>
  <si>
    <t>Calamos Asset Management Inc is a traditional investment management firm</t>
  </si>
  <si>
    <t>CALAMOS ASSET MANAGEMENT INC</t>
  </si>
  <si>
    <t>0000872616,0001103998,0001299033</t>
  </si>
  <si>
    <t>12811R</t>
  </si>
  <si>
    <t>CLMS</t>
  </si>
  <si>
    <t>2004-10-28</t>
  </si>
  <si>
    <t>Royalty Pharma Plc</t>
  </si>
  <si>
    <t>Royalty Pharma Plc acquires royalty interests in pharmaceutical products, a specialized financial activity but not a fintech business model.</t>
  </si>
  <si>
    <t>ROYALTY PHARMA PLC</t>
  </si>
  <si>
    <t>0001802768</t>
  </si>
  <si>
    <t>G7709Q</t>
  </si>
  <si>
    <t>RPRX</t>
  </si>
  <si>
    <t>2020-06-16</t>
  </si>
  <si>
    <t>eBay Inc</t>
  </si>
  <si>
    <t>eBay Inc's core business as an e-commerce platform relies heavily on and directly integrates digital payment systems.</t>
  </si>
  <si>
    <t>EBAY INC</t>
  </si>
  <si>
    <t>0001747685,0001159827,0001065088,0001470175,0001852161,0001852772,0001900320</t>
  </si>
  <si>
    <t>278642</t>
  </si>
  <si>
    <t>EBAY</t>
  </si>
  <si>
    <t>1998-09-24</t>
  </si>
  <si>
    <t>Audible Inc</t>
  </si>
  <si>
    <t>Audible Inc provides audiobooks and spoken-word entertainment, unrelated to financial technology.</t>
  </si>
  <si>
    <t>AUDIBLE INC</t>
  </si>
  <si>
    <t>0001077926</t>
  </si>
  <si>
    <t>05069A</t>
  </si>
  <si>
    <t>ADBL</t>
  </si>
  <si>
    <t>1999-07-16</t>
  </si>
  <si>
    <t>Lante Corp</t>
  </si>
  <si>
    <t>Lante Corp provided internet professional services that built e-business solutions, which included elements that could support online transactions.</t>
  </si>
  <si>
    <t>LANTE CORP</t>
  </si>
  <si>
    <t>0001100370</t>
  </si>
  <si>
    <t>516540</t>
  </si>
  <si>
    <t>LNTE</t>
  </si>
  <si>
    <t>LNTE.1</t>
  </si>
  <si>
    <t>2000-02-11</t>
  </si>
  <si>
    <t>ValiCert Inc</t>
  </si>
  <si>
    <t>ValiCert Inc provided digital security (PKI) solutions, which are foundational for secure digital financial transactions.</t>
  </si>
  <si>
    <t>VALICERT INC</t>
  </si>
  <si>
    <t>0001114040</t>
  </si>
  <si>
    <t>91915Q</t>
  </si>
  <si>
    <t>VLCT</t>
  </si>
  <si>
    <t>2000-07-28</t>
  </si>
  <si>
    <t>Olo Inc</t>
  </si>
  <si>
    <t>Olo Inc provides a digital ordering and delivery platform for restaurants that integrates payment processing, serving as a supporting role.</t>
  </si>
  <si>
    <t>OLO INC</t>
  </si>
  <si>
    <t>0001431695</t>
  </si>
  <si>
    <t>68134L</t>
  </si>
  <si>
    <t>OLO</t>
  </si>
  <si>
    <t>2021-03-17</t>
  </si>
  <si>
    <t>First Consulting Group Inc</t>
  </si>
  <si>
    <t>First Consulting Group Inc was an IT consulting firm primarily for the healthcare industry, not financial technology.</t>
  </si>
  <si>
    <t>FIRST CONSULTING GROUP INC</t>
  </si>
  <si>
    <t>0001049758,0001079784</t>
  </si>
  <si>
    <t>31986R</t>
  </si>
  <si>
    <t>FCGI</t>
  </si>
  <si>
    <t>1998-02-13</t>
  </si>
  <si>
    <t>Integral Ad Science Hldg Corp</t>
  </si>
  <si>
    <t>Integral Ad Science's platform for ad verification and optimization involves financial transactions within the ad tech ecosystem, but is not a core fintech service.</t>
  </si>
  <si>
    <t>INTEGRAL AD SCIENCE HOL CORP</t>
  </si>
  <si>
    <t>0001842718</t>
  </si>
  <si>
    <t>45828L</t>
  </si>
  <si>
    <t>IAS</t>
  </si>
  <si>
    <t>2021-06-30</t>
  </si>
  <si>
    <t>Cash Technologies Inc</t>
  </si>
  <si>
    <t>Provided technology for cash access and payment processing, mainly supporting traditional cash infrastructure rather than delivering core fintech solutions.</t>
  </si>
  <si>
    <t>CASH TECHNOLOGIES INC</t>
  </si>
  <si>
    <t>0001022964</t>
  </si>
  <si>
    <t>147910</t>
  </si>
  <si>
    <t>CHNG</t>
  </si>
  <si>
    <t>CTQN</t>
  </si>
  <si>
    <t>1998-07-09</t>
  </si>
  <si>
    <t>First Marblehead Corp</t>
  </si>
  <si>
    <t>Specialized in student loan origination and servicing using technology to support traditional lenders, but not a digital-first fintech company.</t>
  </si>
  <si>
    <t>FIRST MARBLEHEAD CORP</t>
  </si>
  <si>
    <t>0001262279</t>
  </si>
  <si>
    <t>320771</t>
  </si>
  <si>
    <t>FMD</t>
  </si>
  <si>
    <t>2003-10-31</t>
  </si>
  <si>
    <t>Prime Management Group Inc</t>
  </si>
  <si>
    <t>Prime Management Group Inc was a real estate management company, unrelated to financial technology.</t>
  </si>
  <si>
    <t>PRIME MANAGEMENT GROUP INC</t>
  </si>
  <si>
    <t>741920</t>
  </si>
  <si>
    <t>PMGI</t>
  </si>
  <si>
    <t>1994-08-31</t>
  </si>
  <si>
    <t>Arlo Technologies Inc</t>
  </si>
  <si>
    <t>Arlo Technologies Inc is a smart home security camera company, not a fintech provider.</t>
  </si>
  <si>
    <t>ARLO TECHNOLOGIES INC</t>
  </si>
  <si>
    <t>0001736946</t>
  </si>
  <si>
    <t>04206A</t>
  </si>
  <si>
    <t>ARLO</t>
  </si>
  <si>
    <t>NTGR</t>
  </si>
  <si>
    <t>2018-08-03</t>
  </si>
  <si>
    <t>Third Coast Bancshares Inc</t>
  </si>
  <si>
    <t>Third Coast Bancshares Inc is a traditional bank that would use digital banking tools as a supporting role.</t>
  </si>
  <si>
    <t>THIRD COAST BANCSHARES INC</t>
  </si>
  <si>
    <t>0001781730</t>
  </si>
  <si>
    <t>88422P</t>
  </si>
  <si>
    <t>TCBX</t>
  </si>
  <si>
    <t>2021-11-09</t>
  </si>
  <si>
    <t>Vignette Corp</t>
  </si>
  <si>
    <t>Vignette Corp provided enterprise content management software that could be used for managing financial documents and data, supporting financial operations.</t>
  </si>
  <si>
    <t>VIGNETTE CORP</t>
  </si>
  <si>
    <t>0001042185</t>
  </si>
  <si>
    <t>926734</t>
  </si>
  <si>
    <t>VIGN</t>
  </si>
  <si>
    <t>1999-02-19</t>
  </si>
  <si>
    <t>Charles River Laboratories Int</t>
  </si>
  <si>
    <t>Charles River Laboratories International Inc is a contract research organization for drug development, not financial technology.</t>
  </si>
  <si>
    <t>CHARLES RIVER LABS INTL INC</t>
  </si>
  <si>
    <t>0001100682,0001100682</t>
  </si>
  <si>
    <t>159864</t>
  </si>
  <si>
    <t>CRL</t>
  </si>
  <si>
    <t>2000-06-23</t>
  </si>
  <si>
    <t>Kiromic Biopharma Inc</t>
  </si>
  <si>
    <t>Kiromic Biopharma Inc is a biotechnology company, unrelated to financial technology.</t>
  </si>
  <si>
    <t>KIROMIC BIOPHARMA INC</t>
  </si>
  <si>
    <t>0001792581</t>
  </si>
  <si>
    <t>497634</t>
  </si>
  <si>
    <t>KRBP</t>
  </si>
  <si>
    <t>KRBPQ</t>
  </si>
  <si>
    <t>2020-10-16</t>
  </si>
  <si>
    <t>Rosetta Stone Inc</t>
  </si>
  <si>
    <t>Rosetta Stone Inc provides language learning software, not financial technology.</t>
  </si>
  <si>
    <t>ROSETTA STONE INC</t>
  </si>
  <si>
    <t>0001351285</t>
  </si>
  <si>
    <t>777780</t>
  </si>
  <si>
    <t>RST</t>
  </si>
  <si>
    <t>2009-04-16</t>
  </si>
  <si>
    <t>Uber Technologies Inc</t>
  </si>
  <si>
    <t>Uber Technologies Inc's core business is ridesharing and delivery, not primarily financial services.</t>
  </si>
  <si>
    <t>UBER TECHNOLOGIES INC</t>
  </si>
  <si>
    <t>0001543151</t>
  </si>
  <si>
    <t>90353T</t>
  </si>
  <si>
    <t>UBER</t>
  </si>
  <si>
    <t>2019-05-10</t>
  </si>
  <si>
    <t>Amerigroup Corp</t>
  </si>
  <si>
    <t>Amerigroup Corp was a managed healthcare company, not directly involved in fintech.</t>
  </si>
  <si>
    <t>AMERIGROUP CORP</t>
  </si>
  <si>
    <t>0001064863</t>
  </si>
  <si>
    <t>03073T</t>
  </si>
  <si>
    <t>AMGP</t>
  </si>
  <si>
    <t>AGP</t>
  </si>
  <si>
    <t>HealthEquity Inc</t>
  </si>
  <si>
    <t>HealthEquity Inc's core business is providing health savings accounts (HSAs) and other consumer-directed benefits via a digital financial platform.</t>
  </si>
  <si>
    <t>HEALTHEQUITY INC</t>
  </si>
  <si>
    <t>0001772234,0001207200,0001361189,0001428336,0001361189,0001428336</t>
  </si>
  <si>
    <t>42226A</t>
  </si>
  <si>
    <t>HQY</t>
  </si>
  <si>
    <t>2014-07-31</t>
  </si>
  <si>
    <t>webMethods Inc</t>
  </si>
  <si>
    <t>webMethods Inc provided enterprise software for B2B integration, enabling digital communication and transactions that could support financial processes.</t>
  </si>
  <si>
    <t>WEBMETHODS INC</t>
  </si>
  <si>
    <t>0001035096</t>
  </si>
  <si>
    <t>94768C</t>
  </si>
  <si>
    <t>WEBM</t>
  </si>
  <si>
    <t>WEBM.</t>
  </si>
  <si>
    <t>Toast Inc</t>
  </si>
  <si>
    <t>Toast Inc provides a cloud-based point-of-sale (POS) system for restaurants with integrated payment processing as a core offering.</t>
  </si>
  <si>
    <t>TOAST INC</t>
  </si>
  <si>
    <t>0001650164</t>
  </si>
  <si>
    <t>888787</t>
  </si>
  <si>
    <t>TOST</t>
  </si>
  <si>
    <t>2021-09-22</t>
  </si>
  <si>
    <t>Evercore Partners Inc</t>
  </si>
  <si>
    <t>Evercore Partners Inc is a traditional investment banking advisory firm, not a core fintech entity.</t>
  </si>
  <si>
    <t>EVERCORE INC</t>
  </si>
  <si>
    <t>0001360901</t>
  </si>
  <si>
    <t>29977A</t>
  </si>
  <si>
    <t>2006-08-11</t>
  </si>
  <si>
    <t>Liberate Technologies</t>
  </si>
  <si>
    <t>Liberate Technologies developed interactive television software, not financial technology.</t>
  </si>
  <si>
    <t>0001085776</t>
  </si>
  <si>
    <t>530129</t>
  </si>
  <si>
    <t>LBTE</t>
  </si>
  <si>
    <t>HotJobs.com Ltd</t>
  </si>
  <si>
    <t>HotJobs.com Ltd was an online recruiting and job search platform, not a fintech company.</t>
  </si>
  <si>
    <t>HOTJOBS.COM INC</t>
  </si>
  <si>
    <t>0001087728</t>
  </si>
  <si>
    <t>441474</t>
  </si>
  <si>
    <t>HOTJ</t>
  </si>
  <si>
    <t>HOTJ.</t>
  </si>
  <si>
    <t>1999-08-10</t>
  </si>
  <si>
    <t>MapQuest</t>
  </si>
  <si>
    <t>MapQuest was a web mapping service, unrelated to financial technology.</t>
  </si>
  <si>
    <t>MAPQUEST.COM INC</t>
  </si>
  <si>
    <t>0001078284</t>
  </si>
  <si>
    <t>565644</t>
  </si>
  <si>
    <t>MQST</t>
  </si>
  <si>
    <t>1999-05-04</t>
  </si>
  <si>
    <t>Janux Therapeutics Inc</t>
  </si>
  <si>
    <t>Janux Therapeutics Inc is a biopharmaceutical company, not financial technology.</t>
  </si>
  <si>
    <t>JANUX THERAPEUTICS INC</t>
  </si>
  <si>
    <t>0001817713</t>
  </si>
  <si>
    <t>47103J</t>
  </si>
  <si>
    <t>JANX</t>
  </si>
  <si>
    <t>2021-06-11</t>
  </si>
  <si>
    <t>Executive Risk Inc</t>
  </si>
  <si>
    <t>Executive Risk Inc was an insurance company, operating in traditional finance, not core fintech.</t>
  </si>
  <si>
    <t>EXECUTIVE RISK INC</t>
  </si>
  <si>
    <t>0000914069,0000914069</t>
  </si>
  <si>
    <t>301586</t>
  </si>
  <si>
    <t>ER</t>
  </si>
  <si>
    <t>1994-03-15</t>
  </si>
  <si>
    <t>Esquire Financial Holdings Inc</t>
  </si>
  <si>
    <t>Esquire Financial Holdings Inc is a bank with a significant focus on providing digital banking and payment solutions for specialized industries as a core offering.</t>
  </si>
  <si>
    <t>ESQUIRE FINCL HOLD INC</t>
  </si>
  <si>
    <t>0001531031</t>
  </si>
  <si>
    <t>29667J</t>
  </si>
  <si>
    <t>ESQ</t>
  </si>
  <si>
    <t>2017-06-27</t>
  </si>
  <si>
    <t>GoHealth Inc</t>
  </si>
  <si>
    <t>GoHealth operates a digital platform that uses advanced data analytics and proprietary algorithms to match individuals and families with health insurance plans, especially Medicare Advantage and Supplement plans</t>
  </si>
  <si>
    <t>GOHEALTH INC</t>
  </si>
  <si>
    <t>0001808220</t>
  </si>
  <si>
    <t>38046W</t>
  </si>
  <si>
    <t>GOCO</t>
  </si>
  <si>
    <t>2020-07-15</t>
  </si>
  <si>
    <t>MetroCorp Bancshares Inc</t>
  </si>
  <si>
    <t>MetroCorp Bancshares Inc is a traditional bank holding company that would offer online and mobile banking as supporting features.</t>
  </si>
  <si>
    <t>METROCORP BANCSHARES INC</t>
  </si>
  <si>
    <t>0001068300,0001068300</t>
  </si>
  <si>
    <t>591650</t>
  </si>
  <si>
    <t>MCBI</t>
  </si>
  <si>
    <t>MCBI.1</t>
  </si>
  <si>
    <t>Facebook Inc</t>
  </si>
  <si>
    <t>Meta Platforms Inc's core strategy includes digital payments (e.g., Facebook Pay) and financial services integration within its ecosystem.</t>
  </si>
  <si>
    <t>META PLATFORMS INC</t>
  </si>
  <si>
    <t>0001326801,0001333802</t>
  </si>
  <si>
    <t>30303M</t>
  </si>
  <si>
    <t>FB</t>
  </si>
  <si>
    <t>META</t>
  </si>
  <si>
    <t>2012-05-18</t>
  </si>
  <si>
    <t>Critical Path Inc</t>
  </si>
  <si>
    <t>Critical Path Inc provided enterprise messaging software, not directly related to financial technology.</t>
  </si>
  <si>
    <t>CRITICAL PATH INC</t>
  </si>
  <si>
    <t>0001060801</t>
  </si>
  <si>
    <t>22674V</t>
  </si>
  <si>
    <t>CPTH</t>
  </si>
  <si>
    <t>3CPTH</t>
  </si>
  <si>
    <t>1999-03-29</t>
  </si>
  <si>
    <t>NetIQ Corp</t>
  </si>
  <si>
    <t>NetIQ Corp provided enterprise software for security and IT management, essential for securing digital financial systems.</t>
  </si>
  <si>
    <t>NETIQ CORP</t>
  </si>
  <si>
    <t>0001084827</t>
  </si>
  <si>
    <t>64115P</t>
  </si>
  <si>
    <t>NTIQ</t>
  </si>
  <si>
    <t>1999-07-30</t>
  </si>
  <si>
    <t>US Laboratories Inc</t>
  </si>
  <si>
    <t>US Laboratories Inc was involved in materials testing and consulting, unrelated to financial technology.</t>
  </si>
  <si>
    <t>U S LABORATORIES INC</t>
  </si>
  <si>
    <t>0001794061,0001207098,0001171176,0001421366,0001141961,0001068891</t>
  </si>
  <si>
    <t>90333T</t>
  </si>
  <si>
    <t>USLB</t>
  </si>
  <si>
    <t>USLB.1</t>
  </si>
  <si>
    <t>1999-02-23</t>
  </si>
  <si>
    <t>Bitstream Inc</t>
  </si>
  <si>
    <t>Bitstream Inc was a software company focused on digital font and publishing technology, not financial technology.</t>
  </si>
  <si>
    <t>0000818813,0000818813</t>
  </si>
  <si>
    <t>091736</t>
  </si>
  <si>
    <t>BITS</t>
  </si>
  <si>
    <t>Egreetings Network Inc</t>
  </si>
  <si>
    <t>Egreetings Network Inc provided online greeting cards, not financial technology services.</t>
  </si>
  <si>
    <t>EGREETINGS NETWORK INC</t>
  </si>
  <si>
    <t>0001083992</t>
  </si>
  <si>
    <t>282343</t>
  </si>
  <si>
    <t>EGRT</t>
  </si>
  <si>
    <t>EGRT.</t>
  </si>
  <si>
    <t>1999-12-17</t>
  </si>
  <si>
    <t>Advent Software Inc</t>
  </si>
  <si>
    <t>Advent Software Inc's core business was developing investment management software solutions for financial professionals, directly serving the financial sector with technology.</t>
  </si>
  <si>
    <t>0000816086,0001002225</t>
  </si>
  <si>
    <t>007974</t>
  </si>
  <si>
    <t>ADVS</t>
  </si>
  <si>
    <t>Compass Inc</t>
  </si>
  <si>
    <t>Compass Inc is a real estate technology company that focuses on brokerage services, not core financial technology.</t>
  </si>
  <si>
    <t>COMPASS INC</t>
  </si>
  <si>
    <t>0001563190</t>
  </si>
  <si>
    <t>20464U</t>
  </si>
  <si>
    <t>COMP</t>
  </si>
  <si>
    <t>2021-04-01</t>
  </si>
  <si>
    <t>Virtusa Corp</t>
  </si>
  <si>
    <t>Virtusa Corp is an IT services and consulting company that serves various industries, including financial services, enabling their digital capabilities.</t>
  </si>
  <si>
    <t>VIRTUSA CORP</t>
  </si>
  <si>
    <t>0001207074</t>
  </si>
  <si>
    <t>92827P</t>
  </si>
  <si>
    <t>VRTU</t>
  </si>
  <si>
    <t>2007-08-03</t>
  </si>
  <si>
    <t>Netcom On-Line Communication</t>
  </si>
  <si>
    <t>Netcom On-Line Communication was an early internet service provider, not directly involved in financial technology.</t>
  </si>
  <si>
    <t>NETCOM ON-LINE COMM SERVICES</t>
  </si>
  <si>
    <t>0000909624</t>
  </si>
  <si>
    <t>641081</t>
  </si>
  <si>
    <t>NETC</t>
  </si>
  <si>
    <t>NETC.</t>
  </si>
  <si>
    <t>Solera Holdings Inc</t>
  </si>
  <si>
    <t>Its offerings are built around automating and digitizing financial and operational processes for insurers, repair shops, dealerships, and fleet operators.</t>
  </si>
  <si>
    <t>SOLERA HOLDINGS INC</t>
  </si>
  <si>
    <t>0001324245</t>
  </si>
  <si>
    <t>83421A</t>
  </si>
  <si>
    <t>SLH</t>
  </si>
  <si>
    <t>2007-05-11</t>
  </si>
  <si>
    <t>Open Solutions Inc</t>
  </si>
  <si>
    <t>Open Solutions Inc provided core processing and technology solutions specifically for financial institutions, directly enabling digital banking platforms.</t>
  </si>
  <si>
    <t>OPEN SOLUTIONS INC</t>
  </si>
  <si>
    <t>0001291067,0000873538</t>
  </si>
  <si>
    <t>68371P</t>
  </si>
  <si>
    <t>OPEN.3</t>
  </si>
  <si>
    <t>2003-11-26</t>
  </si>
  <si>
    <t>Coherus Biosciences Inc</t>
  </si>
  <si>
    <t>Coherus Biosciences Inc is a biopharmaceutical company, not involved in financial technology.</t>
  </si>
  <si>
    <t>COHERUS ONCOLOGY INC</t>
  </si>
  <si>
    <t>0001512762</t>
  </si>
  <si>
    <t>19249H</t>
  </si>
  <si>
    <t>CHRS</t>
  </si>
  <si>
    <t>2014-11-06</t>
  </si>
  <si>
    <t>CORT Business Services Corp</t>
  </si>
  <si>
    <t>CORT Business Services Corp provides rental furniture and relocation services, unrelated to fintech.</t>
  </si>
  <si>
    <t>CORT BUSINESS SERVICES CORP</t>
  </si>
  <si>
    <t>0000905401</t>
  </si>
  <si>
    <t>220493</t>
  </si>
  <si>
    <t>CORT</t>
  </si>
  <si>
    <t>CBZ.1</t>
  </si>
  <si>
    <t>1995-11-17</t>
  </si>
  <si>
    <t>Elcom International Inc</t>
  </si>
  <si>
    <t>Elcom International Inc was a technology reseller and service provider, not a fintech company.</t>
  </si>
  <si>
    <t>0000900096</t>
  </si>
  <si>
    <t>284434</t>
  </si>
  <si>
    <t>ELCO</t>
  </si>
  <si>
    <t>FASTNET Corp</t>
  </si>
  <si>
    <t>FASTNET Corp was an internet service provider, not directly involved in financial technology.</t>
  </si>
  <si>
    <t>FASTNET CORP</t>
  </si>
  <si>
    <t>0001092536</t>
  </si>
  <si>
    <t>311877</t>
  </si>
  <si>
    <t>FSST</t>
  </si>
  <si>
    <t>FSSTQ</t>
  </si>
  <si>
    <t>2000-02-08</t>
  </si>
  <si>
    <t>Penson Worldwide Inc</t>
  </si>
  <si>
    <t>Penson Worldwide Inc's core business was providing clearing and execution services with significant technology components for financial institutions.</t>
  </si>
  <si>
    <t>PENSON WORLDWIDE INC</t>
  </si>
  <si>
    <t>0001123541,0001425251</t>
  </si>
  <si>
    <t>709600</t>
  </si>
  <si>
    <t>PNSN</t>
  </si>
  <si>
    <t>PNSNQ</t>
  </si>
  <si>
    <t>2006-05-17</t>
  </si>
  <si>
    <t>Extended Systems Inc</t>
  </si>
  <si>
    <t>Extended Systems Inc provided mobile data and connectivity solutions, primarily for enterprise data synchronization, not fintech.</t>
  </si>
  <si>
    <t>EXTENDED SYSTEMS INC</t>
  </si>
  <si>
    <t>0001051490</t>
  </si>
  <si>
    <t>301973</t>
  </si>
  <si>
    <t>XTND</t>
  </si>
  <si>
    <t>Booz Allen Hamilton Hldg Corp</t>
  </si>
  <si>
    <t>Booz Allen Hamilton is a consulting firm that advises on digital transformation and cybersecurity for various sectors, including financial services.</t>
  </si>
  <si>
    <t>0001443646</t>
  </si>
  <si>
    <t>099502</t>
  </si>
  <si>
    <t>BAH</t>
  </si>
  <si>
    <t>Landmark Systems Corp</t>
  </si>
  <si>
    <t>Landmark Systems Corp provided systems management software for IT infrastructure, not financial technology.</t>
  </si>
  <si>
    <t>LANDMARK SYSTEM CORP</t>
  </si>
  <si>
    <t>0000854418</t>
  </si>
  <si>
    <t>51506S</t>
  </si>
  <si>
    <t>LDMK</t>
  </si>
  <si>
    <t>1997-11-17</t>
  </si>
  <si>
    <t>Game Financial Corp</t>
  </si>
  <si>
    <t>Game Financial Corp provided cash access services (like ATMs and credit card advances) to the gaming industry as its core business.Game Financial Corp specialized in providing debit and credit card cash advances, ATM access, and check cashing services at casino gaming establishments in the United States</t>
  </si>
  <si>
    <t>GAME FINANCIAL CORP</t>
  </si>
  <si>
    <t>0000920106</t>
  </si>
  <si>
    <t>36464P</t>
  </si>
  <si>
    <t>GFIN</t>
  </si>
  <si>
    <t>GFIN.1</t>
  </si>
  <si>
    <t>1994-04-15</t>
  </si>
  <si>
    <t>DataWorks Corp</t>
  </si>
  <si>
    <t>DataWorks Corp provided enterprise resource planning (ERP) software, not specifically core financial technology.</t>
  </si>
  <si>
    <t>DATAWORKS CORP</t>
  </si>
  <si>
    <t>0001000860,0001033374</t>
  </si>
  <si>
    <t>237924</t>
  </si>
  <si>
    <t>DWRX</t>
  </si>
  <si>
    <t>1995-10-27</t>
  </si>
  <si>
    <t>Extreme Networks Inc</t>
  </si>
  <si>
    <t>Extreme Networks Inc provides network infrastructure equipment, not financial technology services.</t>
  </si>
  <si>
    <t>EXTREME NETWORKS INC</t>
  </si>
  <si>
    <t>0001078271</t>
  </si>
  <si>
    <t>30226D</t>
  </si>
  <si>
    <t>EXTR</t>
  </si>
  <si>
    <t>1999-04-09</t>
  </si>
  <si>
    <t>The KEYW Holding Corp</t>
  </si>
  <si>
    <t>The KEYW Holding Corp was a government contractor providing cybersecurity and intelligence services, not fintech.</t>
  </si>
  <si>
    <t>KEYW HOLDING CORP</t>
  </si>
  <si>
    <t>0001487101</t>
  </si>
  <si>
    <t>493723</t>
  </si>
  <si>
    <t>KEYW</t>
  </si>
  <si>
    <t>2010-10-01</t>
  </si>
  <si>
    <t>Five Star Bancorp</t>
  </si>
  <si>
    <t>Five Star Bancorp, through Five Star Bank, primarily offers traditional banking products and services—such as deposits, commercial and consumer loans, real estate lending, and wealth management—to small and medium-sized businesses, professionals, and individuals</t>
  </si>
  <si>
    <t>FIVE STAR BANCORP</t>
  </si>
  <si>
    <t>0001275168</t>
  </si>
  <si>
    <t>33830T</t>
  </si>
  <si>
    <t>FSBC</t>
  </si>
  <si>
    <t>2021-05-05</t>
  </si>
  <si>
    <t>Exchange Applications Inc</t>
  </si>
  <si>
    <t>Exchange Applications Inc provided customer relationship management (CRM) software, which is a general business technology, not financial services.</t>
  </si>
  <si>
    <t>EXCHANGE APPLICATIONS INC</t>
  </si>
  <si>
    <t>0001065857</t>
  </si>
  <si>
    <t>300867</t>
  </si>
  <si>
    <t>EXAP</t>
  </si>
  <si>
    <t>3EXAP</t>
  </si>
  <si>
    <t>1998-12-09</t>
  </si>
  <si>
    <t>International Aircraft</t>
  </si>
  <si>
    <t>International Aircraft Investors was involved in aircraft leasing and sales, not financial technology.</t>
  </si>
  <si>
    <t>INTERNATIONAL AIRCRAFT INVS</t>
  </si>
  <si>
    <t>0001029688</t>
  </si>
  <si>
    <t>458860</t>
  </si>
  <si>
    <t>IAIS</t>
  </si>
  <si>
    <t>1997-11-05</t>
  </si>
  <si>
    <t>Nkarta Inc</t>
  </si>
  <si>
    <t>Nkarta Inc is a biopharmaceutical company focused on developing therapies, unrelated to financial technology.</t>
  </si>
  <si>
    <t>NKARTA INC</t>
  </si>
  <si>
    <t>0001787400</t>
  </si>
  <si>
    <t>65487U</t>
  </si>
  <si>
    <t>NKTX</t>
  </si>
  <si>
    <t>2020-07-10</t>
  </si>
  <si>
    <t>Brio Technology Inc</t>
  </si>
  <si>
    <t>Brio Technology Inc provided business intelligence software, which is a general technology tool, not a financial service.</t>
  </si>
  <si>
    <t>BRIO SOFTWARE INC</t>
  </si>
  <si>
    <t>0001056294</t>
  </si>
  <si>
    <t>109704</t>
  </si>
  <si>
    <t>BRIO</t>
  </si>
  <si>
    <t>1998-05-01</t>
  </si>
  <si>
    <t>Marine Management Systems Inc</t>
  </si>
  <si>
    <t>Marine Management Systems Inc was involved in marine fleet management software, not financial technology.</t>
  </si>
  <si>
    <t>MARINE MGMT SYSTEMS INC</t>
  </si>
  <si>
    <t>0001026311</t>
  </si>
  <si>
    <t>568278</t>
  </si>
  <si>
    <t>MMSI</t>
  </si>
  <si>
    <t>MMSY</t>
  </si>
  <si>
    <t>1997-05-02</t>
  </si>
  <si>
    <t>Groupon Inc</t>
  </si>
  <si>
    <t>Groupon Inc is an e-commerce marketplace for local deals, not a core financial services firm despite integrating payments.</t>
  </si>
  <si>
    <t>GROUPON INC</t>
  </si>
  <si>
    <t>0001490281</t>
  </si>
  <si>
    <t>399473</t>
  </si>
  <si>
    <t>GRPN</t>
  </si>
  <si>
    <t>2011-11-04</t>
  </si>
  <si>
    <t>Longboard Pharmaceuticals Inc</t>
  </si>
  <si>
    <t>Longboard Pharmaceuticals Inc is a clinical-stage biopharmaceutical company, unrelated to financial technology.</t>
  </si>
  <si>
    <t>LONGBOARD PHARMA INC</t>
  </si>
  <si>
    <t>0001832168</t>
  </si>
  <si>
    <t>54300N</t>
  </si>
  <si>
    <t>LBPH</t>
  </si>
  <si>
    <t>2021-03-12</t>
  </si>
  <si>
    <t>MongoDB</t>
  </si>
  <si>
    <t>MongoDB Inc provides a general-purpose database platform, which is a foundational technology but not a financial service itself.</t>
  </si>
  <si>
    <t>MONGODB INC</t>
  </si>
  <si>
    <t>0001441816</t>
  </si>
  <si>
    <t>60937P</t>
  </si>
  <si>
    <t>MDB</t>
  </si>
  <si>
    <t>2017-10-19</t>
  </si>
  <si>
    <t>DA Consulting Group Inc</t>
  </si>
  <si>
    <t>DA Consulting Group Inc provided IT consulting services, which is a general technology service, not a financial firm.</t>
  </si>
  <si>
    <t>0001051209</t>
  </si>
  <si>
    <t>233027</t>
  </si>
  <si>
    <t>DACG</t>
  </si>
  <si>
    <t>Convergys Corp</t>
  </si>
  <si>
    <t>Convergys Corp provided customer management and billing solutions, which are general business services, not financial technology.</t>
  </si>
  <si>
    <t>CONVERGYS CORP</t>
  </si>
  <si>
    <t>0001062047</t>
  </si>
  <si>
    <t>212485</t>
  </si>
  <si>
    <t>CVG</t>
  </si>
  <si>
    <t>CSN</t>
  </si>
  <si>
    <t>1998-08-12</t>
  </si>
  <si>
    <t>Seer Technologies Inc</t>
  </si>
  <si>
    <t>Seer Technologies Inc focused on enterprise application development tools, a general software development role, not financial services.</t>
  </si>
  <si>
    <t>SEER TECHNOLOGIES INC</t>
  </si>
  <si>
    <t>0000945127</t>
  </si>
  <si>
    <t>815780</t>
  </si>
  <si>
    <t>SEER</t>
  </si>
  <si>
    <t>3SEER</t>
  </si>
  <si>
    <t>Rain Therapeutics Inc</t>
  </si>
  <si>
    <t>Rain Therapeutics Inc is an oncology company, unrelated to financial technology.</t>
  </si>
  <si>
    <t>RAIN ONCOLOGY INC</t>
  </si>
  <si>
    <t>0001724979</t>
  </si>
  <si>
    <t>75082Q</t>
  </si>
  <si>
    <t>RAIN</t>
  </si>
  <si>
    <t>RAIN.3</t>
  </si>
  <si>
    <t>2021-04-23</t>
  </si>
  <si>
    <t>Thomas Properties Group Inc</t>
  </si>
  <si>
    <t>Thomas Properties Group Inc was a real estate development and management company, not financial technology.</t>
  </si>
  <si>
    <t>THOMAS PROPERTIES GROUP</t>
  </si>
  <si>
    <t>0001283709</t>
  </si>
  <si>
    <t>884453</t>
  </si>
  <si>
    <t>TPGI</t>
  </si>
  <si>
    <t>2004-10-07</t>
  </si>
  <si>
    <t>First Interstate BancSystem In</t>
  </si>
  <si>
    <t>First Interstate BancSystem Inc. is a traditional bank holding company that uses technology for its banking services.</t>
  </si>
  <si>
    <t>FIRST INTERSTATE BANCSYSTEM</t>
  </si>
  <si>
    <t>0000860413,0001356768</t>
  </si>
  <si>
    <t>32055Y</t>
  </si>
  <si>
    <t>FIBK</t>
  </si>
  <si>
    <t>2010-03-24</t>
  </si>
  <si>
    <t>Magma Design Automation Inc</t>
  </si>
  <si>
    <t>Magma Design Automation Inc provided electronic design automation (EDA) software, which is a specialized technology, not financial services.</t>
  </si>
  <si>
    <t>MAGMA DESIGN AUTOMATION INC</t>
  </si>
  <si>
    <t>0001065034</t>
  </si>
  <si>
    <t>559181</t>
  </si>
  <si>
    <t>LAVA</t>
  </si>
  <si>
    <t>2001-11-20</t>
  </si>
  <si>
    <t>Aerohive Networks Inc</t>
  </si>
  <si>
    <t>Aerohive Networks Inc provided Wi-Fi and networking solutions, which are general technology tools, not financial services.</t>
  </si>
  <si>
    <t>0001372414</t>
  </si>
  <si>
    <t>007786</t>
  </si>
  <si>
    <t>HIVE</t>
  </si>
  <si>
    <t>Datadog Inc</t>
  </si>
  <si>
    <t>Datadog Inc provides monitoring and analytics platform for cloud applications, which is a general technology tool, not a financial firm.</t>
  </si>
  <si>
    <t>DATADOG INC</t>
  </si>
  <si>
    <t>0001561550</t>
  </si>
  <si>
    <t>23804L</t>
  </si>
  <si>
    <t>DDOG</t>
  </si>
  <si>
    <t>2019-09-19</t>
  </si>
  <si>
    <t>BioShield Technologies Inc</t>
  </si>
  <si>
    <t>BioShield Technologies Inc was involved in biomedical products, unrelated to financial technology.</t>
  </si>
  <si>
    <t>0001059623</t>
  </si>
  <si>
    <t>09068A</t>
  </si>
  <si>
    <t>BSTI</t>
  </si>
  <si>
    <t>NextCure Inc</t>
  </si>
  <si>
    <t>NextCure Inc is a clinical-stage biopharmaceutical company, unrelated to financial technology.</t>
  </si>
  <si>
    <t>NEXTCURE INC</t>
  </si>
  <si>
    <t>0001661059</t>
  </si>
  <si>
    <t>65343E</t>
  </si>
  <si>
    <t>NXTC</t>
  </si>
  <si>
    <t>2019-05-09</t>
  </si>
  <si>
    <t>Simulation Sciences Inc</t>
  </si>
  <si>
    <t>Simulation Sciences Inc provided process simulation software for the chemical industry, not financial technology.</t>
  </si>
  <si>
    <t>SIMULATION SCIENCES INC</t>
  </si>
  <si>
    <t>0001013795</t>
  </si>
  <si>
    <t>829213</t>
  </si>
  <si>
    <t>SMCI</t>
  </si>
  <si>
    <t>SMCI.1</t>
  </si>
  <si>
    <t>1996-10-25</t>
  </si>
  <si>
    <t>Pluralsight Inc</t>
  </si>
  <si>
    <t>Pluralsight Inc is an online technology learning platform, not a financial services firm.</t>
  </si>
  <si>
    <t>PLURALSIGHT INC</t>
  </si>
  <si>
    <t>0001725579</t>
  </si>
  <si>
    <t>72941B</t>
  </si>
  <si>
    <t>PS</t>
  </si>
  <si>
    <t>2018-05-17</t>
  </si>
  <si>
    <t>RiskMetrics Group Inc</t>
  </si>
  <si>
    <t>RiskMetrics Group Inc provided risk management and corporate governance services, with technology central to its financial data and analytics delivery.</t>
  </si>
  <si>
    <t>RISKMETRICS GROUP INC</t>
  </si>
  <si>
    <t>0001295172</t>
  </si>
  <si>
    <t>767735</t>
  </si>
  <si>
    <t>RISK</t>
  </si>
  <si>
    <t>2008-01-25</t>
  </si>
  <si>
    <t>Net Perceptions Inc</t>
  </si>
  <si>
    <t>Net Perceptions Inc developed personalization and recommendation software for e-commerce, not financial services.</t>
  </si>
  <si>
    <t>0001078203</t>
  </si>
  <si>
    <t>64107U</t>
  </si>
  <si>
    <t>Independent Bank Group Inc</t>
  </si>
  <si>
    <t>Independent Bank Group Inc is a traditional bank holding company that would use digital banking features.</t>
  </si>
  <si>
    <t>0001564618,0001564618</t>
  </si>
  <si>
    <t>453839</t>
  </si>
  <si>
    <t>IBTX</t>
  </si>
  <si>
    <t>NetScout Systems Inc</t>
  </si>
  <si>
    <t>NetScout Systems Inc provides network performance monitoring solutions, which are general technology tools, not financial services.</t>
  </si>
  <si>
    <t>NETSCOUT SYSTEMS INC</t>
  </si>
  <si>
    <t>0001078075</t>
  </si>
  <si>
    <t>64115T</t>
  </si>
  <si>
    <t>NTCT</t>
  </si>
  <si>
    <t>1999-08-12</t>
  </si>
  <si>
    <t>Sterling Commerce</t>
  </si>
  <si>
    <t>Sterling Commerce provided B2B integration and e-commerce software, which are general business technology solutions, not core financial services.</t>
  </si>
  <si>
    <t>STERLING COMMERCE INC</t>
  </si>
  <si>
    <t>0001005291,0001525728,0001525726</t>
  </si>
  <si>
    <t>859205</t>
  </si>
  <si>
    <t>SE</t>
  </si>
  <si>
    <t>SE.1</t>
  </si>
  <si>
    <t>SSW</t>
  </si>
  <si>
    <t>1996-03-08</t>
  </si>
  <si>
    <t>NAVTEQ Corp</t>
  </si>
  <si>
    <t>NAVTEQ Corp provided digital map data, which is a general data service, not financial technology.</t>
  </si>
  <si>
    <t>NAVTEQ CORP</t>
  </si>
  <si>
    <t>0000834208</t>
  </si>
  <si>
    <t>63936L</t>
  </si>
  <si>
    <t>NVT</t>
  </si>
  <si>
    <t>NVT.1</t>
  </si>
  <si>
    <t>2004-08-06</t>
  </si>
  <si>
    <t>Rapid7 Inc</t>
  </si>
  <si>
    <t>Rapid7 Inc provides cybersecurity solutions, which are general technology services, not financial firms.</t>
  </si>
  <si>
    <t>RAPID7 INC</t>
  </si>
  <si>
    <t>0001560327</t>
  </si>
  <si>
    <t>753422</t>
  </si>
  <si>
    <t>RPD</t>
  </si>
  <si>
    <t>2015-07-17</t>
  </si>
  <si>
    <t>OmniAmerican Bancorp Inc</t>
  </si>
  <si>
    <t>OmniAmerican Bancorp Inc is a traditional bank holding company that would utilize digital banking services.</t>
  </si>
  <si>
    <t>OMNIAMERICAN BANCORP INC</t>
  </si>
  <si>
    <t>0001470795</t>
  </si>
  <si>
    <t>68216R</t>
  </si>
  <si>
    <t>OABC</t>
  </si>
  <si>
    <t>2010-01-21</t>
  </si>
  <si>
    <t>Financial Engines Inc</t>
  </si>
  <si>
    <t>Financial Engines Inc provided online investment advisory services and robo-advisors, making technology central to its financial service delivery.</t>
  </si>
  <si>
    <t>FINANCIAL ENGINES INC</t>
  </si>
  <si>
    <t>0001088142,0001430592,0001450708</t>
  </si>
  <si>
    <t>317485</t>
  </si>
  <si>
    <t>FNGN</t>
  </si>
  <si>
    <t>2010-03-16</t>
  </si>
  <si>
    <t>Digimarc Corp</t>
  </si>
  <si>
    <t>Digimarc Corp focuses on digital watermarking technology, which is a general security technology, not financial services.</t>
  </si>
  <si>
    <t>DIGIMARC CORP -OLD</t>
  </si>
  <si>
    <t>0001089443,0001438231</t>
  </si>
  <si>
    <t>253807</t>
  </si>
  <si>
    <t>DMRC</t>
  </si>
  <si>
    <t>DMRC.1</t>
  </si>
  <si>
    <t>Context Therapeutics Inc</t>
  </si>
  <si>
    <t>Context Therapeutics Inc is a biopharmaceutical company, unrelated to financial technology.</t>
  </si>
  <si>
    <t>CONTEXT THERAPEUTICS INC</t>
  </si>
  <si>
    <t>0001842952</t>
  </si>
  <si>
    <t>21077P</t>
  </si>
  <si>
    <t>CNTX</t>
  </si>
  <si>
    <t>Forrester Research Inc</t>
  </si>
  <si>
    <t>Forrester Research Inc provides market research and advisory services, which are general business services, not financial technology.</t>
  </si>
  <si>
    <t>FORRESTER RESEARCH INC</t>
  </si>
  <si>
    <t>0001023313,0001023313</t>
  </si>
  <si>
    <t>346563</t>
  </si>
  <si>
    <t>FORR</t>
  </si>
  <si>
    <t>ContiFinancial Corp</t>
  </si>
  <si>
    <t>ContiFinancial Corp was a traditional diversified financial services company (mortgage, consumer finance), not a core fintech entity.</t>
  </si>
  <si>
    <t>CONTIFINANCIAL CORP</t>
  </si>
  <si>
    <t>0001002130</t>
  </si>
  <si>
    <t>21075V</t>
  </si>
  <si>
    <t>CFN</t>
  </si>
  <si>
    <t>3CFNIE</t>
  </si>
  <si>
    <t>1996-02-08</t>
  </si>
  <si>
    <t>TeleSpectrum Worldwide Inc</t>
  </si>
  <si>
    <t>TeleSpectrum Worldwide Inc provided customer care and teleservices, which are general business services, not financial technology.</t>
  </si>
  <si>
    <t>TELESPECTRUM WORLDWIDE INC</t>
  </si>
  <si>
    <t>0001014960</t>
  </si>
  <si>
    <t>87951U</t>
  </si>
  <si>
    <t>TLSP</t>
  </si>
  <si>
    <t>3TLSPE.</t>
  </si>
  <si>
    <t>E Trade Group Inc</t>
  </si>
  <si>
    <t>E Trade Group Inc's core business was providing online brokerage and banking services, with technology central to its financial service delivery.</t>
  </si>
  <si>
    <t>E TRADE FINANCIAL CORP</t>
  </si>
  <si>
    <t>0001015780,0002012552,0001784970,0001784970</t>
  </si>
  <si>
    <t>269246</t>
  </si>
  <si>
    <t>ET</t>
  </si>
  <si>
    <t>ETFC</t>
  </si>
  <si>
    <t>MGO Global Inc</t>
  </si>
  <si>
    <t>MGO Global Inc operates a lifestyle and apparel brand, unrelated to financial technology.</t>
  </si>
  <si>
    <t>0001902794</t>
  </si>
  <si>
    <t>55317F</t>
  </si>
  <si>
    <t>MGOL</t>
  </si>
  <si>
    <t>iXL Enterprises Inc</t>
  </si>
  <si>
    <t>iXL Enterprises Inc provided internet professional services and e-business solutions, which are general technology services, not financial firms.</t>
  </si>
  <si>
    <t>0001018705</t>
  </si>
  <si>
    <t>450718</t>
  </si>
  <si>
    <t>IIXL</t>
  </si>
  <si>
    <t>Expert Software Inc</t>
  </si>
  <si>
    <t>Expert Software Inc developed consumer software titles, not financial technology.</t>
  </si>
  <si>
    <t>EXPERT SOFTWARE INC</t>
  </si>
  <si>
    <t>0000939730</t>
  </si>
  <si>
    <t>302131</t>
  </si>
  <si>
    <t>XPRT</t>
  </si>
  <si>
    <t>XPRT.1</t>
  </si>
  <si>
    <t>1995-04-11</t>
  </si>
  <si>
    <t>CSG Systems International Inc</t>
  </si>
  <si>
    <t>CSG Systems International Inc provides business support solutions, primarily for the communications industry, not core financial services.</t>
  </si>
  <si>
    <t>CSG SYSTEMS INTL INC</t>
  </si>
  <si>
    <t>0001005757</t>
  </si>
  <si>
    <t>126349</t>
  </si>
  <si>
    <t>CSGS</t>
  </si>
  <si>
    <t>Spyglass Inc</t>
  </si>
  <si>
    <t>Spyglass Inc developed internet browser technology, which is a general technology, not financial services.</t>
  </si>
  <si>
    <t>SPYGLASS INC</t>
  </si>
  <si>
    <t>0000945256</t>
  </si>
  <si>
    <t>852192</t>
  </si>
  <si>
    <t>SPYG</t>
  </si>
  <si>
    <t>SPYG.</t>
  </si>
  <si>
    <t>1995-06-26</t>
  </si>
  <si>
    <t>WSB Financial Group Inc</t>
  </si>
  <si>
    <t>WSB Financial Group Inc is a traditional bank holding company that would use digital banking features.</t>
  </si>
  <si>
    <t>WSB FINANCIAL GROUP INC</t>
  </si>
  <si>
    <t>0001372791</t>
  </si>
  <si>
    <t>92933E</t>
  </si>
  <si>
    <t>WSFG</t>
  </si>
  <si>
    <t>WSFGQ</t>
  </si>
  <si>
    <t>USI Holdings Corp</t>
  </si>
  <si>
    <t>USI Holdings Corp is an insurance brokerage and consulting firm, operating in traditional finance without technology being central to new service delivery models.</t>
  </si>
  <si>
    <t>USI HOLDINGS CORP</t>
  </si>
  <si>
    <t>0001566431,0001102643</t>
  </si>
  <si>
    <t>90333H</t>
  </si>
  <si>
    <t>USIH</t>
  </si>
  <si>
    <t>2002-10-23</t>
  </si>
  <si>
    <t>Astea International Inc</t>
  </si>
  <si>
    <t>Astea International Inc provided field service management software, which is a general business technology, not financial services.</t>
  </si>
  <si>
    <t>ASTEA INTERNATIONAL INC</t>
  </si>
  <si>
    <t>0000945989</t>
  </si>
  <si>
    <t>04622E</t>
  </si>
  <si>
    <t>ATEA</t>
  </si>
  <si>
    <t>1995-07-27</t>
  </si>
  <si>
    <t>ACV Auctions Inc</t>
  </si>
  <si>
    <t>ACV Auctions Inc operates an online wholesale automotive marketplace, not a financial services firm.</t>
  </si>
  <si>
    <t>ACV AUCTIONS INC</t>
  </si>
  <si>
    <t>0001637873</t>
  </si>
  <si>
    <t>00091G</t>
  </si>
  <si>
    <t>ACVA</t>
  </si>
  <si>
    <t>Vail Banks Inc,Vail,Colorado</t>
  </si>
  <si>
    <t>Vail Banks Inc is a traditional bank that would utilize modern online and mobile banking as supporting features.</t>
  </si>
  <si>
    <t>VAIL BANKS INC</t>
  </si>
  <si>
    <t>0001035770</t>
  </si>
  <si>
    <t>918779</t>
  </si>
  <si>
    <t>VAIL</t>
  </si>
  <si>
    <t>1998-12-10</t>
  </si>
  <si>
    <t>Paradise Music &amp; Entertainment</t>
  </si>
  <si>
    <t>Paradise Music &amp; Entertainment was involved in music licensing and digital media, unrelated to financial technology.</t>
  </si>
  <si>
    <t>0001024464</t>
  </si>
  <si>
    <t>699071</t>
  </si>
  <si>
    <t>PDSE</t>
  </si>
  <si>
    <t>Genpact Ltd</t>
  </si>
  <si>
    <t>Genpact Ltd provides business process outsourcing services, including to financial firms, but is a services provider, not a financial firm itself.</t>
  </si>
  <si>
    <t>GENPACT LTD</t>
  </si>
  <si>
    <t>0001398659</t>
  </si>
  <si>
    <t>G3922B</t>
  </si>
  <si>
    <t>G</t>
  </si>
  <si>
    <t>2007-08-02</t>
  </si>
  <si>
    <t>Apptio Inc</t>
  </si>
  <si>
    <t>Apptio Inc provides technology business management (TBM) software, which is a general enterprise technology, not financial services.</t>
  </si>
  <si>
    <t>APPTIO INC</t>
  </si>
  <si>
    <t>0001419625</t>
  </si>
  <si>
    <t>03835C</t>
  </si>
  <si>
    <t>APTI</t>
  </si>
  <si>
    <t>2016-09-23</t>
  </si>
  <si>
    <t>CareInsite Inc(Medical Mgr)</t>
  </si>
  <si>
    <t>CareInsite Inc focused on online healthcare information and services, not financial technology.</t>
  </si>
  <si>
    <t>CAREINSITE INC</t>
  </si>
  <si>
    <t>0001022147</t>
  </si>
  <si>
    <t>14170M</t>
  </si>
  <si>
    <t>CARI</t>
  </si>
  <si>
    <t>CARI.1</t>
  </si>
  <si>
    <t>SNTC</t>
  </si>
  <si>
    <t>1999-06-16</t>
  </si>
  <si>
    <t>Intersections Inc</t>
  </si>
  <si>
    <t>it is a digital security and identity protection company, not a provider of financial technology or financial services.</t>
  </si>
  <si>
    <t>INTERSECTIONS INC</t>
  </si>
  <si>
    <t>0001095277</t>
  </si>
  <si>
    <t>460981</t>
  </si>
  <si>
    <t>INTX</t>
  </si>
  <si>
    <t>Castle Biosciences Inc</t>
  </si>
  <si>
    <t>Castle Biosciences Inc is a diagnostics company, unrelated to financial technology.</t>
  </si>
  <si>
    <t>CASTLE BIOSCIENCES INC</t>
  </si>
  <si>
    <t>0001447362</t>
  </si>
  <si>
    <t>14843C</t>
  </si>
  <si>
    <t>CSTL</t>
  </si>
  <si>
    <t>2019-07-25</t>
  </si>
  <si>
    <t>OneMain.com Inc</t>
  </si>
  <si>
    <t>traditional lender that uses technology to support and enhance its offerings, but is not a fintech company at its core.</t>
  </si>
  <si>
    <t>ONEMAIN.COM INC</t>
  </si>
  <si>
    <t>0001075530</t>
  </si>
  <si>
    <t>68267P</t>
  </si>
  <si>
    <t>ONEM</t>
  </si>
  <si>
    <t>ONEM.1</t>
  </si>
  <si>
    <t>1999-03-25</t>
  </si>
  <si>
    <t>Weave Communications Inc</t>
  </si>
  <si>
    <t>Weave Communications Inc provides communication and engagement software for small businesses, a general technology, not financial services.</t>
  </si>
  <si>
    <t>WEAVE COMMUNICATI INC</t>
  </si>
  <si>
    <t>0001609151</t>
  </si>
  <si>
    <t>94724R</t>
  </si>
  <si>
    <t>WEAV</t>
  </si>
  <si>
    <t>2021-11-11</t>
  </si>
  <si>
    <t>Digital Island Inc</t>
  </si>
  <si>
    <t>Digital Island Inc provided content delivery network (CDN) services, which is a general internet infrastructure technology, not financial services.</t>
  </si>
  <si>
    <t>DIGITAL ISLAND INC</t>
  </si>
  <si>
    <t>0001084329</t>
  </si>
  <si>
    <t>25385N</t>
  </si>
  <si>
    <t>ISLD</t>
  </si>
  <si>
    <t>ISLD.</t>
  </si>
  <si>
    <t>Motive Inc</t>
  </si>
  <si>
    <t>Motive Inc developed mobile device management and synchronization software, which is a general enterprise technology, not financial services.</t>
  </si>
  <si>
    <t>MOTIVE INC</t>
  </si>
  <si>
    <t>0001001463,0001089007,0001740382,0001302778,0001089016,0001159670,0001159832,0001159832,0001270395,0000908255,0001624477,0001454268,0001782394,0001320459,0001645221,0001479221,0001358061,0001453420,0001707755,0001172103,0001983796,0000766886,0001420665,0001967494,0001262900,0001711614,0001616053,0001031203,0000920236,0000874188,0001144399,0000924902,0001702701,0001894242,0001583606,0001060817,0001457059,0001040616,0001486452,0001112422,0001826439,0001499961,0000898173,0001543589,0000898173,0001040475,0001995077,0001537332,0001874178,0001538148,0001528098,0001528098,0000875003,0001043509,0001024725,0001898877,0000925548,0001174627,0001033780,0001047208,0001977010</t>
  </si>
  <si>
    <t>61980V</t>
  </si>
  <si>
    <t>MOTV</t>
  </si>
  <si>
    <t>MOTV.1</t>
  </si>
  <si>
    <t>2004-06-25</t>
  </si>
  <si>
    <t>Network-1 Sec Solutions Inc</t>
  </si>
  <si>
    <t>Network-1 Security Solutions Inc focused on patent licensing for network security, which is a general technology, not financial services.</t>
  </si>
  <si>
    <t>NETWORK-1 TECHNOLOGIES INC</t>
  </si>
  <si>
    <t>0001065078</t>
  </si>
  <si>
    <t>64121N</t>
  </si>
  <si>
    <t>NSSI</t>
  </si>
  <si>
    <t>NTIP</t>
  </si>
  <si>
    <t>1998-11-10</t>
  </si>
  <si>
    <t>ResortQuest International</t>
  </si>
  <si>
    <t>ResortQuest International was a vacation rental management company, unrelated to financial technology.</t>
  </si>
  <si>
    <t>RESORTQUEST INTL INC</t>
  </si>
  <si>
    <t>0001057507</t>
  </si>
  <si>
    <t>761183</t>
  </si>
  <si>
    <t>RZT</t>
  </si>
  <si>
    <t>1998-05-20</t>
  </si>
  <si>
    <t>Prism Solutions Inc</t>
  </si>
  <si>
    <t>Prism Solutions Inc provided data warehousing and business intelligence tools, which are general technology tools, not financial services.</t>
  </si>
  <si>
    <t>PRISM SOLUTIONS INC</t>
  </si>
  <si>
    <t>0001008129</t>
  </si>
  <si>
    <t>742947</t>
  </si>
  <si>
    <t>PRZM</t>
  </si>
  <si>
    <t>PRZM.1</t>
  </si>
  <si>
    <t>New Era of Networks Inc</t>
  </si>
  <si>
    <t>New Era of Networks Inc provided enterprise application integration software, which is a general technology tool, not financial services.</t>
  </si>
  <si>
    <t>NEW ERA OF NETWORKS INC</t>
  </si>
  <si>
    <t>0001028339</t>
  </si>
  <si>
    <t>644312</t>
  </si>
  <si>
    <t>NEON</t>
  </si>
  <si>
    <t>NEON.</t>
  </si>
  <si>
    <t>1997-06-18</t>
  </si>
  <si>
    <t>Valley Bancorp</t>
  </si>
  <si>
    <t>Valley Bancorp is a traditional bank holding company that would utilize modern digital banking services.</t>
  </si>
  <si>
    <t>VALLEY BANCORP</t>
  </si>
  <si>
    <t>0000816248,0001715722,0000901842,0000822371,0000854098,0000938240,0000806279,0001170833,0001318849,0001409546,0001179011,0000353191,0001431567,0000351599,0000351616,0000351616,0001884114,0001915409,0001015593,0001298909,0001511738,0001120427,0000811808,0001490321,0000704171,0001145181,0001172678,0000740114,0001210067,0001295334,0001386227</t>
  </si>
  <si>
    <t>91929R</t>
  </si>
  <si>
    <t>VLLY</t>
  </si>
  <si>
    <t>2004-09-23</t>
  </si>
  <si>
    <t>United Financial Holdings Inc</t>
  </si>
  <si>
    <t>United Financial Holdings Inc is a traditional bank holding company that would utilize modern digital banking services.</t>
  </si>
  <si>
    <t>UNITED FINANCIAL HOLDINGS</t>
  </si>
  <si>
    <t>0001067206</t>
  </si>
  <si>
    <t>91032K</t>
  </si>
  <si>
    <t>UFHI</t>
  </si>
  <si>
    <t>1998-12-11</t>
  </si>
  <si>
    <t>National Auto Finance Company</t>
  </si>
  <si>
    <t>National Auto Finance Company was a subprime auto lender, operating in traditional finance without technology being central to new service delivery models.</t>
  </si>
  <si>
    <t>0001024332</t>
  </si>
  <si>
    <t>632528</t>
  </si>
  <si>
    <t>NAFI</t>
  </si>
  <si>
    <t>Heller Financial Inc</t>
  </si>
  <si>
    <t>Heller Financial Inc was a diversified commercial finance company, operating in traditional finance without technology being central to new service delivery models.</t>
  </si>
  <si>
    <t>HELLER FINANCIAL INC</t>
  </si>
  <si>
    <t>0000046738</t>
  </si>
  <si>
    <t>423328</t>
  </si>
  <si>
    <t>HF.2</t>
  </si>
  <si>
    <t>8305</t>
  </si>
  <si>
    <t>Ask Jeeves Inc</t>
  </si>
  <si>
    <t>Ask Jeeves Inc was an internet search engine, unrelated to financial technology.</t>
  </si>
  <si>
    <t>0001054298</t>
  </si>
  <si>
    <t>045174</t>
  </si>
  <si>
    <t>ASKJ</t>
  </si>
  <si>
    <t>NCO Group Inc</t>
  </si>
  <si>
    <t>NCO Group Inc provided business process outsourcing, including debt collection, which is a service, not a core fintech model.</t>
  </si>
  <si>
    <t>0001022608,0001397772</t>
  </si>
  <si>
    <t>628858</t>
  </si>
  <si>
    <t>NCOG</t>
  </si>
  <si>
    <t>Bentley Systems Inc</t>
  </si>
  <si>
    <t>Bentley Systems Inc provides software for infrastructure design and engineering, which is a general technology, not financial services.</t>
  </si>
  <si>
    <t>BENTLEY SYSTEMS INC</t>
  </si>
  <si>
    <t>0001031308</t>
  </si>
  <si>
    <t>08265T</t>
  </si>
  <si>
    <t>BSY</t>
  </si>
  <si>
    <t>2020-09-23</t>
  </si>
  <si>
    <t>Infoblox Inc</t>
  </si>
  <si>
    <t>Infoblox Inc provides network control and security solutions, which are general technology tools, not financial services.</t>
  </si>
  <si>
    <t>INFOBLOX INC</t>
  </si>
  <si>
    <t>0001223862,0001531737</t>
  </si>
  <si>
    <t>45672H</t>
  </si>
  <si>
    <t>BLOX</t>
  </si>
  <si>
    <t>MarketWatch.com Inc</t>
  </si>
  <si>
    <t>MarketWatch.com Inc was a financial news and information website, not a financial service provider.</t>
  </si>
  <si>
    <t>MARKETWATCH INC</t>
  </si>
  <si>
    <t>0001068969,0001258655</t>
  </si>
  <si>
    <t>570619</t>
  </si>
  <si>
    <t>MKTW</t>
  </si>
  <si>
    <t>MKTW.1</t>
  </si>
  <si>
    <t>DBCC</t>
  </si>
  <si>
    <t>1999-01-15</t>
  </si>
  <si>
    <t>USInternetworking Inc</t>
  </si>
  <si>
    <t>USInternetworking Inc provided application hosting and managed services, which are general technology services, not financial firms.</t>
  </si>
  <si>
    <t>USINTERNETWORKING INC</t>
  </si>
  <si>
    <t>0001076732</t>
  </si>
  <si>
    <t>917311</t>
  </si>
  <si>
    <t>USIX</t>
  </si>
  <si>
    <t>USIXQ</t>
  </si>
  <si>
    <t>SuccessFactors Inc</t>
  </si>
  <si>
    <t>SuccessFactors Inc provided human capital management (HCM) software, which is a general business technology, not financial services.</t>
  </si>
  <si>
    <t>SUCCESSFACTORS INC</t>
  </si>
  <si>
    <t>0001157979,0001402305</t>
  </si>
  <si>
    <t>864596</t>
  </si>
  <si>
    <t>SFSF</t>
  </si>
  <si>
    <t>2007-11-20</t>
  </si>
  <si>
    <t>Bigband Networks Inc</t>
  </si>
  <si>
    <t>Bigband Networks Inc provided digital video processing and networking equipment, unrelated to financial technology.</t>
  </si>
  <si>
    <t>0001122524,0001381325</t>
  </si>
  <si>
    <t>089750</t>
  </si>
  <si>
    <t>BBND</t>
  </si>
  <si>
    <t>Avistar Communications Corp</t>
  </si>
  <si>
    <t>Avistar Communications Corp provided video conferencing software, which is a general technology tool, not financial services.</t>
  </si>
  <si>
    <t>AVISTAR COMMUNICATIONS CORP</t>
  </si>
  <si>
    <t>0001111632</t>
  </si>
  <si>
    <t>05379X</t>
  </si>
  <si>
    <t>AVSR</t>
  </si>
  <si>
    <t>2000-08-17</t>
  </si>
  <si>
    <t>First Capital Bancorp</t>
  </si>
  <si>
    <t>First Capital Bancorp is a traditional bank holding company that would use digital banking features.</t>
  </si>
  <si>
    <t>FIRST CAPITAL BANCORP INC/VA</t>
  </si>
  <si>
    <t>0001058973,0001373525,0001749199</t>
  </si>
  <si>
    <t>319438</t>
  </si>
  <si>
    <t>FCVA</t>
  </si>
  <si>
    <t>1999-02-03</t>
  </si>
  <si>
    <t>Bankrate Inc</t>
  </si>
  <si>
    <t>Bankrate Inc is an online publisher of financial content and rate tables, not a financial services provider.</t>
  </si>
  <si>
    <t>0001080866,0001518222</t>
  </si>
  <si>
    <t>06646V</t>
  </si>
  <si>
    <t>RATE</t>
  </si>
  <si>
    <t>ThredUp Inc</t>
  </si>
  <si>
    <t>ThredUp Inc operates an online resale marketplace for clothing, not a financial services firm.</t>
  </si>
  <si>
    <t>THREDUP INC</t>
  </si>
  <si>
    <t>0001484778</t>
  </si>
  <si>
    <t>88556E</t>
  </si>
  <si>
    <t>TDUP</t>
  </si>
  <si>
    <t>Marin Software Inc</t>
  </si>
  <si>
    <t>Marin Software Inc provides digital advertising management software, which is a general tech tool, not a financial firm.</t>
  </si>
  <si>
    <t>0001389002</t>
  </si>
  <si>
    <t>56804T</t>
  </si>
  <si>
    <t>MRIN</t>
  </si>
  <si>
    <t>Bridgewater Bancshares Inc</t>
  </si>
  <si>
    <t>Bridgewater Bancshares Inc is a traditional bank holding company that would utilize modern digital banking services.</t>
  </si>
  <si>
    <t>BRIDGEWATER BANCSHARES</t>
  </si>
  <si>
    <t>0001341317</t>
  </si>
  <si>
    <t>108621</t>
  </si>
  <si>
    <t>BWB</t>
  </si>
  <si>
    <t>2018-03-14</t>
  </si>
  <si>
    <t>Aegis Consumer Funding Group</t>
  </si>
  <si>
    <t>Aegis Consumer Funding Group was a traditional subprime auto loan originator, not a core fintech entity.</t>
  </si>
  <si>
    <t>AEGIS CONSUMER FDG GROUP INC</t>
  </si>
  <si>
    <t>0000932278</t>
  </si>
  <si>
    <t>00760G</t>
  </si>
  <si>
    <t>ACAR</t>
  </si>
  <si>
    <t>ACAR.</t>
  </si>
  <si>
    <t>AGS</t>
  </si>
  <si>
    <t>1995-04-06</t>
  </si>
  <si>
    <t>Tradeweb Markets Inc</t>
  </si>
  <si>
    <t>Tradeweb Markets Inc operates electronic trading platforms for fixed income and derivatives, making technology central to its core financial service delivery.</t>
  </si>
  <si>
    <t>TRADEWEB MARKETS INC</t>
  </si>
  <si>
    <t>0001758730</t>
  </si>
  <si>
    <t>892672</t>
  </si>
  <si>
    <t>TW</t>
  </si>
  <si>
    <t>2019-04-04</t>
  </si>
  <si>
    <t>Metromedia Fiber Network Inc</t>
  </si>
  <si>
    <t>Metromedia Fiber Network Inc provided fiber optic network services, which is general infrastructure technology, not financial services.</t>
  </si>
  <si>
    <t>0001043533</t>
  </si>
  <si>
    <t>591689</t>
  </si>
  <si>
    <t>MFNX</t>
  </si>
  <si>
    <t>Apogee Therapeutics Inc</t>
  </si>
  <si>
    <t>Apogee Therapeutics Inc is a biotechnology company, unrelated to financial technology.</t>
  </si>
  <si>
    <t>APOGEE THERAPEUTICS INC</t>
  </si>
  <si>
    <t>0001974640</t>
  </si>
  <si>
    <t>03770N</t>
  </si>
  <si>
    <t>APGE</t>
  </si>
  <si>
    <t>2023-07-14</t>
  </si>
  <si>
    <t>Acceleron Pharma Inc</t>
  </si>
  <si>
    <t>Acceleron Pharma Inc is a biopharmaceutical company, unrelated to financial technology.</t>
  </si>
  <si>
    <t>ACCELERON PHARMA INC</t>
  </si>
  <si>
    <t>0001280600</t>
  </si>
  <si>
    <t>00434H</t>
  </si>
  <si>
    <t>XLRN</t>
  </si>
  <si>
    <t>2013-09-19</t>
  </si>
  <si>
    <t>Sonic Solutions</t>
  </si>
  <si>
    <t>Sonic Solutions provided digital media software, not financial technology.</t>
  </si>
  <si>
    <t>SONIC SOLUTIONS</t>
  </si>
  <si>
    <t>0000916235</t>
  </si>
  <si>
    <t>835460</t>
  </si>
  <si>
    <t>SNIC</t>
  </si>
  <si>
    <t>1994-02-10</t>
  </si>
  <si>
    <t>NetObjects Inc</t>
  </si>
  <si>
    <t>NetObjects Inc provided web design software, which is a general technology tool, not financial services.</t>
  </si>
  <si>
    <t>NETOBJECTS INC</t>
  </si>
  <si>
    <t>0001009386</t>
  </si>
  <si>
    <t>64114L</t>
  </si>
  <si>
    <t>NETO</t>
  </si>
  <si>
    <t>IBM</t>
  </si>
  <si>
    <t>1999-05-07</t>
  </si>
  <si>
    <t>Keros Therapeutics Inc</t>
  </si>
  <si>
    <t>Keros Therapeutics Inc is a biopharmaceutical company, unrelated to financial technology.</t>
  </si>
  <si>
    <t>KEROS THERAPEUTICS INC</t>
  </si>
  <si>
    <t>0001664710</t>
  </si>
  <si>
    <t>492327</t>
  </si>
  <si>
    <t>KROS</t>
  </si>
  <si>
    <t>2020-04-08</t>
  </si>
  <si>
    <t>@plan.inc</t>
  </si>
  <si>
    <t>@plan.inc provided online media planning and measurement software, which is ad-tech, not a financial firm.</t>
  </si>
  <si>
    <t>ATPLAN INC</t>
  </si>
  <si>
    <t>0001333128,0001818425,0001540755,0001081614,0001961751,0001783087,0001926611,0001609729,0001012562,0001424472,0001160716,0001639943,0001495871,0001095146,0001669736,0001901880,0001117344,0001758331,0001477814,0001346279,0001477814,0001698999,0001013325,0001255788,0001101450,0001496668,0001757460,0001631918,0001156463,0001823450,0001352441,0001733801,0001161119,0001659578,0001500639,0001881925,0001929269,0001565597,0001159853,0001156813,0001311546</t>
  </si>
  <si>
    <t>04962Q</t>
  </si>
  <si>
    <t>APLN</t>
  </si>
  <si>
    <t>APLN.</t>
  </si>
  <si>
    <t>BA Merchant Svcs(BankAmerica)</t>
  </si>
  <si>
    <t>BA Merchant Services, as part of BankAmerica, provided payment processing services as a supporting role to its core banking business.</t>
  </si>
  <si>
    <t>0001024674</t>
  </si>
  <si>
    <t>055239</t>
  </si>
  <si>
    <t>BPI</t>
  </si>
  <si>
    <t>BAC</t>
  </si>
  <si>
    <t>Informatica Corp</t>
  </si>
  <si>
    <t>Informatica Corp provides enterprise data management software, which is a general technology tool, not a financial firm.</t>
  </si>
  <si>
    <t>0001080099</t>
  </si>
  <si>
    <t>45666Q</t>
  </si>
  <si>
    <t>INFA</t>
  </si>
  <si>
    <t>Claremont Technology Group Inc</t>
  </si>
  <si>
    <t>Claremont Technology Group Inc provided IT consulting and systems integration, which are general technology services, not financial firms.</t>
  </si>
  <si>
    <t>CLAREMONT TECHNOLOGY GRP INC</t>
  </si>
  <si>
    <t>0001013736</t>
  </si>
  <si>
    <t>180243</t>
  </si>
  <si>
    <t>CLMT</t>
  </si>
  <si>
    <t>CLMT.1</t>
  </si>
  <si>
    <t>Marqeta Inc</t>
  </si>
  <si>
    <t>Marqeta Inc's core business is providing a modern card issuing platform, making technology central to its financial service delivery in the payments sector.</t>
  </si>
  <si>
    <t>MARQETA INC</t>
  </si>
  <si>
    <t>0001522540</t>
  </si>
  <si>
    <t>57142B</t>
  </si>
  <si>
    <t>MQ</t>
  </si>
  <si>
    <t>2021-06-09</t>
  </si>
  <si>
    <t>Corio Inc</t>
  </si>
  <si>
    <t>Corio Inc provided application service provider (ASP) services for business applications, which is a general technology service, not a financial firm.</t>
  </si>
  <si>
    <t>CORIO INC</t>
  </si>
  <si>
    <t>0001111001</t>
  </si>
  <si>
    <t>218875</t>
  </si>
  <si>
    <t>CRIO</t>
  </si>
  <si>
    <t>2000-07-21</t>
  </si>
  <si>
    <t>Red Hat Inc</t>
  </si>
  <si>
    <t>Red Hat Inc provides open-source software solutions (Linux, middleware), which are general technology, not financial services.</t>
  </si>
  <si>
    <t>RED HAT INC</t>
  </si>
  <si>
    <t>0001087423,0001367535</t>
  </si>
  <si>
    <t>756577</t>
  </si>
  <si>
    <t>RHT</t>
  </si>
  <si>
    <t>HLM Design Inc</t>
  </si>
  <si>
    <t>HLM Design Inc was an architectural design firm, unrelated to financial technology.</t>
  </si>
  <si>
    <t>HLM DESIGN INC</t>
  </si>
  <si>
    <t>0001049129</t>
  </si>
  <si>
    <t>404217</t>
  </si>
  <si>
    <t>HMD</t>
  </si>
  <si>
    <t>HLMD</t>
  </si>
  <si>
    <t>1998-06-15</t>
  </si>
  <si>
    <t>Backblaze Inc</t>
  </si>
  <si>
    <t>Backblaze Inc provides cloud storage and data backup services, which are general technology services, not financial firms.</t>
  </si>
  <si>
    <t>BACKBLAZE INC</t>
  </si>
  <si>
    <t>0001462056</t>
  </si>
  <si>
    <t>05637B</t>
  </si>
  <si>
    <t>BLZE</t>
  </si>
  <si>
    <t>Mechanical Dynamics Inc</t>
  </si>
  <si>
    <t>Mechanical Dynamics Inc provided engineering simulation software, which is a general technology, not financial services.</t>
  </si>
  <si>
    <t>MECHANICAL DYNAMICS</t>
  </si>
  <si>
    <t>0001011451</t>
  </si>
  <si>
    <t>583521</t>
  </si>
  <si>
    <t>MDII</t>
  </si>
  <si>
    <t>MDII.1</t>
  </si>
  <si>
    <t>1996-05-14</t>
  </si>
  <si>
    <t>Xpedite Systems Inc</t>
  </si>
  <si>
    <t>Xpedite Systems Inc provided electronic messaging services (e.g., fax, email broadcasting), which are general communication services, not financial services.</t>
  </si>
  <si>
    <t>XPEDITE SYSTEMS INC</t>
  </si>
  <si>
    <t>0000854009</t>
  </si>
  <si>
    <t>983929</t>
  </si>
  <si>
    <t>XPED</t>
  </si>
  <si>
    <t>1994-02-14</t>
  </si>
  <si>
    <t>WebSecure Inc</t>
  </si>
  <si>
    <t>WebSecure Inc provided internet security software, which is a general technology tool, not a financial firm.</t>
  </si>
  <si>
    <t>WEBSECURE INC</t>
  </si>
  <si>
    <t>0001003504</t>
  </si>
  <si>
    <t>947683</t>
  </si>
  <si>
    <t>WEBS.</t>
  </si>
  <si>
    <t>1996-12-04</t>
  </si>
  <si>
    <t>Arena Pharmaceuticals Inc</t>
  </si>
  <si>
    <t>Arena Pharmaceuticals Inc is a biopharmaceutical company, unrelated to financial technology.</t>
  </si>
  <si>
    <t>0001080709</t>
  </si>
  <si>
    <t>040047</t>
  </si>
  <si>
    <t>ARNA</t>
  </si>
  <si>
    <t>Tysons Financial Corp,VA</t>
  </si>
  <si>
    <t>Didn't find company on EDGAR</t>
  </si>
  <si>
    <t>0000859632</t>
  </si>
  <si>
    <t>902499</t>
  </si>
  <si>
    <t>TYFC</t>
  </si>
  <si>
    <t>Breakdown:</t>
  </si>
  <si>
    <t>Companies Amt</t>
  </si>
  <si>
    <t xml:space="preserve">Yes </t>
  </si>
  <si>
    <t>fintech as a core business model</t>
  </si>
  <si>
    <t>only use fintech as supporting role; e.g; Bank of America Mobile App</t>
  </si>
  <si>
    <t>Not fintech</t>
  </si>
  <si>
    <t>Total Companies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</si>
</sst>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sz val="11.0"/>
      <color theme="1"/>
      <name val="Calibri"/>
    </font>
    <font>
      <b/>
      <sz val="11.0"/>
      <color theme="1"/>
      <name val="Calibri"/>
    </font>
    <font/>
    <font>
      <b/>
      <sz val="11.0"/>
      <color rgb="FF980000"/>
      <name val="Calibri"/>
    </font>
    <font>
      <u/>
      <sz val="11.0"/>
      <color rgb="FF0000FF"/>
      <name val="Calibri"/>
    </font>
    <font>
      <i/>
      <sz val="11.0"/>
      <color theme="1"/>
      <name val="Calibri"/>
    </font>
    <font>
      <u/>
      <sz val="11.0"/>
      <color rgb="FF0000FF"/>
      <name val="Calibri"/>
    </font>
    <font>
      <sz val="12.0"/>
      <color theme="1"/>
      <name val="FkGroteskNeue"/>
    </font>
    <font>
      <color theme="1"/>
      <name val="Arial"/>
      <scheme val="minor"/>
    </font>
    <font>
      <b/>
      <color theme="1"/>
      <name val="Arial"/>
      <scheme val="minor"/>
    </font>
    <font>
      <color theme="1"/>
      <name val="Arial"/>
    </font>
  </fonts>
  <fills count="2">
    <fill>
      <patternFill patternType="none"/>
    </fill>
    <fill>
      <patternFill patternType="lightGray"/>
    </fill>
  </fills>
  <borders count="5">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shrinkToFit="0" vertical="top" wrapText="0"/>
    </xf>
    <xf borderId="1" fillId="0" fontId="2" numFmtId="0" xfId="0" applyAlignment="1" applyBorder="1" applyFont="1">
      <alignment horizontal="center" shrinkToFit="0" vertical="top" wrapText="1"/>
    </xf>
    <xf borderId="2" fillId="0" fontId="3" numFmtId="0" xfId="0" applyBorder="1" applyFont="1"/>
    <xf borderId="0" fillId="0" fontId="1" numFmtId="0" xfId="0" applyAlignment="1" applyFont="1">
      <alignment shrinkToFit="0" vertical="bottom" wrapText="0"/>
    </xf>
    <xf borderId="3" fillId="0" fontId="2" numFmtId="0" xfId="0" applyAlignment="1" applyBorder="1" applyFont="1">
      <alignment horizontal="center" shrinkToFit="0" vertical="top" wrapText="0"/>
    </xf>
    <xf borderId="3" fillId="0" fontId="2" numFmtId="0" xfId="0" applyAlignment="1" applyBorder="1" applyFont="1">
      <alignment horizontal="center" shrinkToFit="0" vertical="top" wrapText="1"/>
    </xf>
    <xf borderId="0" fillId="0" fontId="1" numFmtId="0" xfId="0" applyAlignment="1" applyFont="1">
      <alignment horizontal="right" shrinkToFit="0" vertical="bottom" wrapText="0"/>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4" fillId="0" fontId="1" numFmtId="0" xfId="0" applyAlignment="1" applyBorder="1" applyFont="1">
      <alignment shrinkToFit="0" wrapText="1"/>
    </xf>
    <xf borderId="4" fillId="0" fontId="2" numFmtId="0" xfId="0" applyAlignment="1" applyBorder="1" applyFont="1">
      <alignment shrinkToFit="0" wrapText="1"/>
    </xf>
    <xf borderId="0" fillId="0" fontId="1" numFmtId="0" xfId="0" applyFont="1"/>
    <xf borderId="4" fillId="0" fontId="4" numFmtId="0" xfId="0" applyAlignment="1" applyBorder="1" applyFont="1">
      <alignment shrinkToFit="0" wrapText="1"/>
    </xf>
    <xf borderId="0" fillId="0" fontId="1" numFmtId="0" xfId="0" applyAlignment="1" applyFont="1">
      <alignment readingOrder="0" shrinkToFit="0" vertical="bottom" wrapText="0"/>
    </xf>
    <xf borderId="0" fillId="0" fontId="1" numFmtId="3" xfId="0" applyAlignment="1" applyFont="1" applyNumberFormat="1">
      <alignment readingOrder="0" shrinkToFit="0" vertical="bottom" wrapText="0"/>
    </xf>
    <xf borderId="0" fillId="0" fontId="1" numFmtId="164" xfId="0" applyAlignment="1" applyFont="1" applyNumberFormat="1">
      <alignment readingOrder="0" shrinkToFit="0" vertical="bottom" wrapText="0"/>
    </xf>
    <xf borderId="0" fillId="0" fontId="5" numFmtId="0" xfId="0" applyAlignment="1" applyFont="1">
      <alignment readingOrder="0" shrinkToFit="0" vertical="bottom" wrapText="0"/>
    </xf>
    <xf borderId="0" fillId="0" fontId="1" numFmtId="0" xfId="0" applyAlignment="1" applyFont="1">
      <alignment horizontal="right" shrinkToFit="0" vertical="top" wrapText="0"/>
    </xf>
    <xf borderId="0" fillId="0" fontId="1" numFmtId="0" xfId="0" applyAlignment="1" applyFont="1">
      <alignment readingOrder="0" shrinkToFit="0" vertical="top" wrapText="1"/>
    </xf>
    <xf borderId="4" fillId="0" fontId="1" numFmtId="0" xfId="0" applyAlignment="1" applyBorder="1" applyFont="1">
      <alignment readingOrder="0" vertical="bottom"/>
    </xf>
    <xf borderId="0" fillId="0" fontId="6" numFmtId="0" xfId="0" applyAlignment="1" applyFont="1">
      <alignment shrinkToFit="0" vertical="bottom" wrapText="1"/>
    </xf>
    <xf borderId="0" fillId="0" fontId="1" numFmtId="0" xfId="0" applyAlignment="1" applyFont="1">
      <alignment readingOrder="0" vertical="bottom"/>
    </xf>
    <xf borderId="0" fillId="0" fontId="7" numFmtId="0" xfId="0" applyAlignment="1" applyFont="1">
      <alignment shrinkToFit="0" vertical="bottom" wrapText="1"/>
    </xf>
    <xf borderId="0" fillId="0" fontId="8" numFmtId="0" xfId="0" applyAlignment="1" applyFont="1">
      <alignment vertical="bottom"/>
    </xf>
    <xf borderId="0" fillId="0" fontId="9" numFmtId="0" xfId="0" applyAlignment="1" applyFont="1">
      <alignment readingOrder="0"/>
    </xf>
    <xf borderId="0" fillId="0" fontId="10" numFmtId="0" xfId="0" applyAlignment="1" applyFont="1">
      <alignment readingOrder="0"/>
    </xf>
    <xf borderId="0" fillId="0" fontId="9" numFmtId="0" xfId="0" applyFont="1"/>
    <xf borderId="0" fillId="0"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Fintech Manual Classification Result</a:t>
            </a:r>
          </a:p>
        </c:rich>
      </c:tx>
      <c:layout>
        <c:manualLayout>
          <c:xMode val="edge"/>
          <c:yMode val="edge"/>
          <c:x val="0.03211722488038277"/>
          <c:y val="0.05"/>
        </c:manualLayout>
      </c:layout>
      <c:overlay val="0"/>
    </c:title>
    <c:view3D>
      <c:rotX val="50"/>
      <c:perspective val="0"/>
    </c:view3D>
    <c:plotArea>
      <c:layout/>
      <c:pie3D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'Diagram Breakdown'!$A$3:$A$5</c:f>
            </c:strRef>
          </c:cat>
          <c:val>
            <c:numRef>
              <c:f>'Diagram Breakdown'!$B$3:$B$5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190500</xdr:rowOff>
    </xdr:from>
    <xdr:ext cx="7962900" cy="4924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homegrocer.com" TargetMode="External"/><Relationship Id="rId2" Type="http://schemas.openxmlformats.org/officeDocument/2006/relationships/hyperlink" Target="https://www.google.com/search?sca_esv=f2d37a307d9ff73f&amp;cs=1&amp;sxsrf=AE3TifOU5qtkzMs7hnVopPUKSLJj--lyiQ%3A1752015809258&amp;q=digital+banking&amp;sa=X&amp;ved=2ahUKEwjdmI-_r66OAxWQl4kEHQiDOfUQxccNegQIBBAB&amp;mstk=AUtExfDQHD_8G9gsqBOS4iyAh2qirSE7CWHY3z8CPFMvtlcIXfyG_OAjX9UEvbUjDAnq9bJASMT9O61f_liTjOMuauTCynk4n0gF5hHAuHQTQaorakKRVqybdtEO8xmNYDMLIR0BP0cshXGGzuywwtfXqjiF459YgTULiTO0tAVXLppk-7gq7F9jl3yqhUU6ioJAQgmgSZjHF5tvwEf3MEVcDEi41d1HEI5Ov4H-DFi48O6Dmh6s8Kp87RX_CisB3L8gYs1u-_1DQIu2ytcIjtzr_yYL&amp;csui=3" TargetMode="External"/><Relationship Id="rId3" Type="http://schemas.openxmlformats.org/officeDocument/2006/relationships/hyperlink" Target="http://pcorder.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75"/>
    <col customWidth="1" min="3" max="3" width="19.25"/>
    <col customWidth="1" min="4" max="4" width="110.0"/>
    <col customWidth="1" min="5" max="5" width="20.38"/>
  </cols>
  <sheetData>
    <row r="1">
      <c r="A1" s="1"/>
      <c r="B1" s="1"/>
      <c r="C1" s="2" t="s">
        <v>0</v>
      </c>
      <c r="D1" s="3"/>
      <c r="E1" s="1"/>
      <c r="F1" s="1"/>
      <c r="G1" s="1"/>
      <c r="H1" s="1"/>
      <c r="I1" s="1"/>
      <c r="J1" s="1"/>
      <c r="K1" s="1"/>
      <c r="L1" s="1"/>
      <c r="M1" s="1"/>
      <c r="N1" s="1"/>
      <c r="O1" s="1"/>
      <c r="P1" s="1"/>
      <c r="Q1" s="1"/>
      <c r="R1" s="1"/>
      <c r="S1" s="4"/>
      <c r="T1" s="4"/>
      <c r="U1" s="4"/>
      <c r="V1" s="4"/>
      <c r="W1" s="4"/>
      <c r="X1" s="4"/>
      <c r="Y1" s="4"/>
    </row>
    <row r="2">
      <c r="A2" s="5" t="s">
        <v>1</v>
      </c>
      <c r="B2" s="5" t="s">
        <v>2</v>
      </c>
      <c r="C2" s="6" t="s">
        <v>3</v>
      </c>
      <c r="D2" s="6" t="s">
        <v>4</v>
      </c>
      <c r="E2" s="5" t="s">
        <v>5</v>
      </c>
      <c r="F2" s="5" t="s">
        <v>6</v>
      </c>
      <c r="G2" s="5" t="s">
        <v>7</v>
      </c>
      <c r="H2" s="5" t="s">
        <v>8</v>
      </c>
      <c r="I2" s="5" t="s">
        <v>9</v>
      </c>
      <c r="J2" s="5" t="s">
        <v>10</v>
      </c>
      <c r="K2" s="5" t="s">
        <v>11</v>
      </c>
      <c r="L2" s="5" t="s">
        <v>12</v>
      </c>
      <c r="M2" s="5" t="s">
        <v>13</v>
      </c>
      <c r="N2" s="5" t="s">
        <v>14</v>
      </c>
      <c r="O2" s="5" t="s">
        <v>15</v>
      </c>
      <c r="P2" s="5" t="s">
        <v>16</v>
      </c>
      <c r="Q2" s="5" t="s">
        <v>17</v>
      </c>
      <c r="R2" s="5" t="s">
        <v>18</v>
      </c>
      <c r="S2" s="4"/>
      <c r="T2" s="4"/>
      <c r="U2" s="4"/>
      <c r="V2" s="4"/>
      <c r="W2" s="4"/>
      <c r="X2" s="4"/>
      <c r="Y2" s="4"/>
    </row>
    <row r="3">
      <c r="A3" s="4" t="s">
        <v>19</v>
      </c>
      <c r="B3" s="7">
        <v>1092393.0</v>
      </c>
      <c r="C3" s="8" t="s">
        <v>20</v>
      </c>
      <c r="D3" s="9" t="s">
        <v>21</v>
      </c>
      <c r="E3" s="4" t="s">
        <v>22</v>
      </c>
      <c r="F3" s="7">
        <v>1092393.0</v>
      </c>
      <c r="G3" s="4"/>
      <c r="H3" s="4" t="s">
        <v>23</v>
      </c>
      <c r="I3" s="4" t="s">
        <v>24</v>
      </c>
      <c r="J3" s="4" t="s">
        <v>25</v>
      </c>
      <c r="K3" s="4" t="s">
        <v>25</v>
      </c>
      <c r="L3" s="4" t="s">
        <v>25</v>
      </c>
      <c r="M3" s="7">
        <v>1999.0</v>
      </c>
      <c r="N3" s="4" t="s">
        <v>26</v>
      </c>
      <c r="O3" s="4" t="s">
        <v>26</v>
      </c>
      <c r="P3" s="7">
        <v>7375.0</v>
      </c>
      <c r="Q3" s="7">
        <v>4822.0</v>
      </c>
      <c r="R3" s="7">
        <v>14.0</v>
      </c>
      <c r="S3" s="4"/>
      <c r="T3" s="4"/>
      <c r="U3" s="4"/>
      <c r="V3" s="4"/>
      <c r="W3" s="4"/>
      <c r="X3" s="4"/>
      <c r="Y3" s="4"/>
    </row>
    <row r="4">
      <c r="A4" s="4" t="s">
        <v>27</v>
      </c>
      <c r="B4" s="7">
        <v>1602658.0</v>
      </c>
      <c r="C4" s="8" t="s">
        <v>20</v>
      </c>
      <c r="D4" s="9" t="s">
        <v>28</v>
      </c>
      <c r="E4" s="4" t="s">
        <v>29</v>
      </c>
      <c r="F4" s="7">
        <v>1602658.0</v>
      </c>
      <c r="G4" s="7">
        <v>1602658.0</v>
      </c>
      <c r="H4" s="4" t="s">
        <v>30</v>
      </c>
      <c r="I4" s="4" t="s">
        <v>31</v>
      </c>
      <c r="J4" s="4" t="s">
        <v>32</v>
      </c>
      <c r="K4" s="4" t="s">
        <v>32</v>
      </c>
      <c r="L4" s="4" t="s">
        <v>32</v>
      </c>
      <c r="M4" s="7">
        <v>2014.0</v>
      </c>
      <c r="N4" s="4" t="s">
        <v>33</v>
      </c>
      <c r="O4" s="4" t="s">
        <v>33</v>
      </c>
      <c r="P4" s="7">
        <v>6022.0</v>
      </c>
      <c r="Q4" s="7">
        <v>6020.0</v>
      </c>
      <c r="R4" s="7">
        <v>14.0</v>
      </c>
      <c r="S4" s="4"/>
      <c r="T4" s="4"/>
      <c r="U4" s="4"/>
      <c r="V4" s="4"/>
      <c r="W4" s="4"/>
      <c r="X4" s="4"/>
      <c r="Y4" s="4"/>
    </row>
    <row r="5">
      <c r="A5" s="4" t="s">
        <v>34</v>
      </c>
      <c r="B5" s="7">
        <v>798757.0</v>
      </c>
      <c r="C5" s="8" t="s">
        <v>20</v>
      </c>
      <c r="D5" s="9" t="s">
        <v>35</v>
      </c>
      <c r="E5" s="4" t="s">
        <v>36</v>
      </c>
      <c r="F5" s="7">
        <v>798757.0</v>
      </c>
      <c r="G5" s="4"/>
      <c r="H5" s="4"/>
      <c r="I5" s="4" t="s">
        <v>37</v>
      </c>
      <c r="J5" s="4" t="s">
        <v>38</v>
      </c>
      <c r="K5" s="4" t="s">
        <v>38</v>
      </c>
      <c r="L5" s="4" t="s">
        <v>38</v>
      </c>
      <c r="M5" s="7">
        <v>1997.0</v>
      </c>
      <c r="N5" s="4" t="s">
        <v>39</v>
      </c>
      <c r="O5" s="4" t="s">
        <v>39</v>
      </c>
      <c r="P5" s="7">
        <v>7372.0</v>
      </c>
      <c r="Q5" s="7">
        <v>7372.0</v>
      </c>
      <c r="R5" s="7">
        <v>23.0</v>
      </c>
      <c r="S5" s="4"/>
      <c r="T5" s="4"/>
      <c r="U5" s="4"/>
      <c r="V5" s="4"/>
      <c r="W5" s="4"/>
      <c r="X5" s="4"/>
      <c r="Y5" s="4"/>
    </row>
    <row r="6">
      <c r="A6" s="4" t="s">
        <v>40</v>
      </c>
      <c r="B6" s="7">
        <v>945837.0</v>
      </c>
      <c r="C6" s="8" t="s">
        <v>20</v>
      </c>
      <c r="D6" s="9" t="s">
        <v>41</v>
      </c>
      <c r="E6" s="4" t="s">
        <v>42</v>
      </c>
      <c r="F6" s="7">
        <v>945837.0</v>
      </c>
      <c r="G6" s="4"/>
      <c r="H6" s="4" t="s">
        <v>43</v>
      </c>
      <c r="I6" s="4" t="s">
        <v>44</v>
      </c>
      <c r="J6" s="4" t="s">
        <v>45</v>
      </c>
      <c r="K6" s="4" t="s">
        <v>46</v>
      </c>
      <c r="L6" s="4" t="s">
        <v>45</v>
      </c>
      <c r="M6" s="7">
        <v>1995.0</v>
      </c>
      <c r="N6" s="4" t="s">
        <v>47</v>
      </c>
      <c r="O6" s="4" t="s">
        <v>47</v>
      </c>
      <c r="P6" s="7">
        <v>7372.0</v>
      </c>
      <c r="Q6" s="7">
        <v>7372.0</v>
      </c>
      <c r="R6" s="7">
        <v>9.0</v>
      </c>
      <c r="S6" s="4"/>
      <c r="T6" s="4"/>
      <c r="U6" s="4"/>
      <c r="V6" s="4"/>
      <c r="W6" s="4"/>
      <c r="X6" s="4"/>
      <c r="Y6" s="4"/>
    </row>
    <row r="7">
      <c r="A7" s="4" t="s">
        <v>48</v>
      </c>
      <c r="B7" s="7">
        <v>1082484.0</v>
      </c>
      <c r="C7" s="8" t="s">
        <v>20</v>
      </c>
      <c r="D7" s="9" t="s">
        <v>49</v>
      </c>
      <c r="E7" s="4" t="s">
        <v>50</v>
      </c>
      <c r="F7" s="7">
        <v>1082484.0</v>
      </c>
      <c r="G7" s="7">
        <v>1539638.0</v>
      </c>
      <c r="H7" s="4" t="s">
        <v>51</v>
      </c>
      <c r="I7" s="4" t="s">
        <v>52</v>
      </c>
      <c r="J7" s="4" t="s">
        <v>53</v>
      </c>
      <c r="K7" s="4" t="s">
        <v>54</v>
      </c>
      <c r="L7" s="4" t="s">
        <v>53</v>
      </c>
      <c r="M7" s="7">
        <v>1999.0</v>
      </c>
      <c r="N7" s="4" t="s">
        <v>55</v>
      </c>
      <c r="O7" s="4" t="s">
        <v>55</v>
      </c>
      <c r="P7" s="7">
        <v>6021.0</v>
      </c>
      <c r="Q7" s="7">
        <v>6020.0</v>
      </c>
      <c r="R7" s="7">
        <v>11.25</v>
      </c>
      <c r="S7" s="4"/>
      <c r="T7" s="4"/>
      <c r="U7" s="4"/>
      <c r="V7" s="4"/>
      <c r="W7" s="4"/>
      <c r="X7" s="4"/>
      <c r="Y7" s="4"/>
    </row>
    <row r="8">
      <c r="A8" s="4" t="s">
        <v>56</v>
      </c>
      <c r="B8" s="7">
        <v>1032628.0</v>
      </c>
      <c r="C8" s="8" t="s">
        <v>20</v>
      </c>
      <c r="D8" s="9" t="s">
        <v>57</v>
      </c>
      <c r="E8" s="4" t="s">
        <v>58</v>
      </c>
      <c r="F8" s="7">
        <v>1032628.0</v>
      </c>
      <c r="G8" s="4"/>
      <c r="H8" s="4" t="s">
        <v>59</v>
      </c>
      <c r="I8" s="4" t="s">
        <v>60</v>
      </c>
      <c r="J8" s="4" t="s">
        <v>61</v>
      </c>
      <c r="K8" s="4" t="s">
        <v>62</v>
      </c>
      <c r="L8" s="4" t="s">
        <v>61</v>
      </c>
      <c r="M8" s="7">
        <v>1997.0</v>
      </c>
      <c r="N8" s="4" t="s">
        <v>63</v>
      </c>
      <c r="O8" s="4" t="s">
        <v>63</v>
      </c>
      <c r="P8" s="7">
        <v>8741.0</v>
      </c>
      <c r="Q8" s="7">
        <v>8741.0</v>
      </c>
      <c r="R8" s="7">
        <v>6.1</v>
      </c>
      <c r="S8" s="4"/>
      <c r="T8" s="4"/>
      <c r="U8" s="4"/>
      <c r="V8" s="4"/>
      <c r="W8" s="4"/>
      <c r="X8" s="4"/>
      <c r="Y8" s="4"/>
    </row>
    <row r="9">
      <c r="A9" s="4" t="s">
        <v>64</v>
      </c>
      <c r="B9" s="7">
        <v>1032373.0</v>
      </c>
      <c r="C9" s="8" t="s">
        <v>20</v>
      </c>
      <c r="D9" s="9" t="s">
        <v>65</v>
      </c>
      <c r="E9" s="4" t="s">
        <v>66</v>
      </c>
      <c r="F9" s="7">
        <v>1032373.0</v>
      </c>
      <c r="G9" s="4"/>
      <c r="H9" s="4" t="s">
        <v>67</v>
      </c>
      <c r="I9" s="4" t="s">
        <v>68</v>
      </c>
      <c r="J9" s="4" t="s">
        <v>69</v>
      </c>
      <c r="K9" s="4" t="s">
        <v>69</v>
      </c>
      <c r="L9" s="4" t="s">
        <v>69</v>
      </c>
      <c r="M9" s="7">
        <v>1997.0</v>
      </c>
      <c r="N9" s="4" t="s">
        <v>70</v>
      </c>
      <c r="O9" s="4" t="s">
        <v>70</v>
      </c>
      <c r="P9" s="7">
        <v>7379.0</v>
      </c>
      <c r="Q9" s="7">
        <v>7373.0</v>
      </c>
      <c r="R9" s="7">
        <v>13.0</v>
      </c>
      <c r="S9" s="4"/>
      <c r="T9" s="4"/>
      <c r="U9" s="4"/>
      <c r="V9" s="4"/>
      <c r="W9" s="4"/>
      <c r="X9" s="4"/>
      <c r="Y9" s="4"/>
    </row>
    <row r="10">
      <c r="A10" s="4" t="s">
        <v>71</v>
      </c>
      <c r="B10" s="7">
        <v>320121.0</v>
      </c>
      <c r="C10" s="8" t="s">
        <v>20</v>
      </c>
      <c r="D10" s="9" t="s">
        <v>72</v>
      </c>
      <c r="E10" s="4" t="s">
        <v>73</v>
      </c>
      <c r="F10" s="7">
        <v>320121.0</v>
      </c>
      <c r="G10" s="4"/>
      <c r="H10" s="4" t="s">
        <v>74</v>
      </c>
      <c r="I10" s="4" t="s">
        <v>75</v>
      </c>
      <c r="J10" s="4" t="s">
        <v>76</v>
      </c>
      <c r="K10" s="4" t="s">
        <v>77</v>
      </c>
      <c r="L10" s="4" t="s">
        <v>76</v>
      </c>
      <c r="M10" s="7">
        <v>2020.0</v>
      </c>
      <c r="N10" s="4" t="s">
        <v>78</v>
      </c>
      <c r="O10" s="4" t="s">
        <v>78</v>
      </c>
      <c r="P10" s="7">
        <v>7372.0</v>
      </c>
      <c r="Q10" s="7">
        <v>7373.0</v>
      </c>
      <c r="R10" s="7">
        <v>17.0</v>
      </c>
      <c r="S10" s="4"/>
      <c r="T10" s="4"/>
      <c r="U10" s="4"/>
      <c r="V10" s="4"/>
      <c r="W10" s="4"/>
      <c r="X10" s="4"/>
      <c r="Y10" s="4"/>
    </row>
    <row r="11">
      <c r="A11" s="4" t="s">
        <v>79</v>
      </c>
      <c r="B11" s="7">
        <v>1716951.0</v>
      </c>
      <c r="C11" s="8" t="s">
        <v>20</v>
      </c>
      <c r="D11" s="9" t="s">
        <v>80</v>
      </c>
      <c r="E11" s="4"/>
      <c r="F11" s="4"/>
      <c r="G11" s="7">
        <v>1716951.0</v>
      </c>
      <c r="H11" s="4" t="s">
        <v>81</v>
      </c>
      <c r="I11" s="4" t="s">
        <v>82</v>
      </c>
      <c r="J11" s="4" t="s">
        <v>83</v>
      </c>
      <c r="K11" s="4"/>
      <c r="L11" s="4" t="s">
        <v>83</v>
      </c>
      <c r="M11" s="7">
        <v>2018.0</v>
      </c>
      <c r="N11" s="4"/>
      <c r="O11" s="4"/>
      <c r="P11" s="7">
        <v>6371.0</v>
      </c>
      <c r="Q11" s="4"/>
      <c r="R11" s="7">
        <v>20.0</v>
      </c>
      <c r="S11" s="4"/>
      <c r="T11" s="4"/>
      <c r="U11" s="4"/>
      <c r="V11" s="4"/>
      <c r="W11" s="4"/>
      <c r="X11" s="4"/>
      <c r="Y11" s="4"/>
    </row>
    <row r="12">
      <c r="A12" s="4" t="s">
        <v>84</v>
      </c>
      <c r="B12" s="7">
        <v>1299210.0</v>
      </c>
      <c r="C12" s="8" t="s">
        <v>20</v>
      </c>
      <c r="D12" s="9" t="s">
        <v>85</v>
      </c>
      <c r="E12" s="4" t="s">
        <v>86</v>
      </c>
      <c r="F12" s="7">
        <v>1299210.0</v>
      </c>
      <c r="G12" s="4"/>
      <c r="H12" s="4" t="s">
        <v>87</v>
      </c>
      <c r="I12" s="4" t="s">
        <v>88</v>
      </c>
      <c r="J12" s="4" t="s">
        <v>89</v>
      </c>
      <c r="K12" s="4" t="s">
        <v>89</v>
      </c>
      <c r="L12" s="4" t="s">
        <v>89</v>
      </c>
      <c r="M12" s="7">
        <v>2004.0</v>
      </c>
      <c r="N12" s="4" t="s">
        <v>90</v>
      </c>
      <c r="O12" s="4" t="s">
        <v>90</v>
      </c>
      <c r="P12" s="7">
        <v>6311.0</v>
      </c>
      <c r="Q12" s="7">
        <v>6311.0</v>
      </c>
      <c r="R12" s="7">
        <v>9.5</v>
      </c>
      <c r="S12" s="4"/>
      <c r="T12" s="4"/>
      <c r="U12" s="4"/>
      <c r="V12" s="4"/>
      <c r="W12" s="4"/>
      <c r="X12" s="4"/>
      <c r="Y12" s="4"/>
    </row>
    <row r="13">
      <c r="A13" s="4" t="s">
        <v>91</v>
      </c>
      <c r="B13" s="7">
        <v>1680367.0</v>
      </c>
      <c r="C13" s="8" t="s">
        <v>20</v>
      </c>
      <c r="D13" s="9" t="s">
        <v>92</v>
      </c>
      <c r="E13" s="4" t="s">
        <v>93</v>
      </c>
      <c r="F13" s="7">
        <v>1680367.0</v>
      </c>
      <c r="G13" s="7">
        <v>1680367.0</v>
      </c>
      <c r="H13" s="4" t="s">
        <v>94</v>
      </c>
      <c r="I13" s="4" t="s">
        <v>95</v>
      </c>
      <c r="J13" s="4" t="s">
        <v>96</v>
      </c>
      <c r="K13" s="4" t="s">
        <v>96</v>
      </c>
      <c r="L13" s="4" t="s">
        <v>96</v>
      </c>
      <c r="M13" s="7">
        <v>2020.0</v>
      </c>
      <c r="N13" s="4" t="s">
        <v>97</v>
      </c>
      <c r="O13" s="4" t="s">
        <v>97</v>
      </c>
      <c r="P13" s="7">
        <v>8731.0</v>
      </c>
      <c r="Q13" s="7">
        <v>2836.0</v>
      </c>
      <c r="R13" s="7">
        <v>17.0</v>
      </c>
      <c r="S13" s="4"/>
      <c r="T13" s="4"/>
      <c r="U13" s="4"/>
      <c r="V13" s="4"/>
      <c r="W13" s="4"/>
      <c r="X13" s="4"/>
      <c r="Y13" s="4"/>
    </row>
    <row r="14">
      <c r="A14" s="4" t="s">
        <v>98</v>
      </c>
      <c r="B14" s="7">
        <v>1693415.0</v>
      </c>
      <c r="C14" s="8" t="s">
        <v>20</v>
      </c>
      <c r="D14" s="9" t="s">
        <v>99</v>
      </c>
      <c r="E14" s="4" t="s">
        <v>100</v>
      </c>
      <c r="F14" s="7">
        <v>1693415.0</v>
      </c>
      <c r="G14" s="4"/>
      <c r="H14" s="4" t="s">
        <v>101</v>
      </c>
      <c r="I14" s="4" t="s">
        <v>102</v>
      </c>
      <c r="J14" s="4" t="s">
        <v>103</v>
      </c>
      <c r="K14" s="4" t="s">
        <v>104</v>
      </c>
      <c r="L14" s="4" t="s">
        <v>103</v>
      </c>
      <c r="M14" s="7">
        <v>2018.0</v>
      </c>
      <c r="N14" s="4" t="s">
        <v>105</v>
      </c>
      <c r="O14" s="4" t="s">
        <v>105</v>
      </c>
      <c r="P14" s="7">
        <v>8731.0</v>
      </c>
      <c r="Q14" s="7">
        <v>2836.0</v>
      </c>
      <c r="R14" s="7">
        <v>13.0</v>
      </c>
      <c r="S14" s="4"/>
      <c r="T14" s="4"/>
      <c r="U14" s="4"/>
      <c r="V14" s="4"/>
      <c r="W14" s="4"/>
      <c r="X14" s="4"/>
      <c r="Y14" s="4"/>
    </row>
    <row r="15">
      <c r="A15" s="4" t="s">
        <v>106</v>
      </c>
      <c r="B15" s="7">
        <v>1108782.0</v>
      </c>
      <c r="C15" s="8" t="s">
        <v>20</v>
      </c>
      <c r="D15" s="9" t="s">
        <v>107</v>
      </c>
      <c r="E15" s="4" t="s">
        <v>108</v>
      </c>
      <c r="F15" s="7">
        <v>1108782.0</v>
      </c>
      <c r="G15" s="7">
        <v>1829576.0</v>
      </c>
      <c r="H15" s="4" t="s">
        <v>109</v>
      </c>
      <c r="I15" s="4" t="s">
        <v>110</v>
      </c>
      <c r="J15" s="4" t="s">
        <v>111</v>
      </c>
      <c r="K15" s="4" t="s">
        <v>112</v>
      </c>
      <c r="L15" s="4" t="s">
        <v>111</v>
      </c>
      <c r="M15" s="7">
        <v>2000.0</v>
      </c>
      <c r="N15" s="4" t="s">
        <v>113</v>
      </c>
      <c r="O15" s="4" t="s">
        <v>113</v>
      </c>
      <c r="P15" s="7">
        <v>7372.0</v>
      </c>
      <c r="Q15" s="7">
        <v>7372.0</v>
      </c>
      <c r="R15" s="7">
        <v>12.0</v>
      </c>
      <c r="S15" s="4"/>
      <c r="T15" s="4"/>
      <c r="U15" s="4"/>
      <c r="V15" s="4"/>
      <c r="W15" s="4"/>
      <c r="X15" s="4"/>
      <c r="Y15" s="4"/>
    </row>
    <row r="16">
      <c r="A16" s="4" t="s">
        <v>114</v>
      </c>
      <c r="B16" s="7">
        <v>1103013.0</v>
      </c>
      <c r="C16" s="8" t="s">
        <v>20</v>
      </c>
      <c r="D16" s="9" t="s">
        <v>115</v>
      </c>
      <c r="E16" s="4" t="s">
        <v>116</v>
      </c>
      <c r="F16" s="7">
        <v>1103013.0</v>
      </c>
      <c r="G16" s="4"/>
      <c r="H16" s="4" t="s">
        <v>117</v>
      </c>
      <c r="I16" s="4" t="s">
        <v>118</v>
      </c>
      <c r="J16" s="4" t="s">
        <v>119</v>
      </c>
      <c r="K16" s="4" t="s">
        <v>119</v>
      </c>
      <c r="L16" s="4" t="s">
        <v>119</v>
      </c>
      <c r="M16" s="7">
        <v>2000.0</v>
      </c>
      <c r="N16" s="4" t="s">
        <v>120</v>
      </c>
      <c r="O16" s="4" t="s">
        <v>120</v>
      </c>
      <c r="P16" s="7">
        <v>7379.0</v>
      </c>
      <c r="Q16" s="7">
        <v>7370.0</v>
      </c>
      <c r="R16" s="7">
        <v>9.5</v>
      </c>
      <c r="S16" s="4"/>
      <c r="T16" s="4"/>
      <c r="U16" s="4"/>
      <c r="V16" s="4"/>
      <c r="W16" s="4"/>
      <c r="X16" s="4"/>
      <c r="Y16" s="4"/>
    </row>
    <row r="17">
      <c r="A17" s="4" t="s">
        <v>121</v>
      </c>
      <c r="B17" s="7">
        <v>1166388.0</v>
      </c>
      <c r="C17" s="8" t="s">
        <v>20</v>
      </c>
      <c r="D17" s="9" t="s">
        <v>122</v>
      </c>
      <c r="E17" s="4" t="s">
        <v>123</v>
      </c>
      <c r="F17" s="7">
        <v>1166388.0</v>
      </c>
      <c r="G17" s="7">
        <v>1166388.0</v>
      </c>
      <c r="H17" s="4" t="s">
        <v>124</v>
      </c>
      <c r="I17" s="4" t="s">
        <v>125</v>
      </c>
      <c r="J17" s="4" t="s">
        <v>126</v>
      </c>
      <c r="K17" s="4" t="s">
        <v>126</v>
      </c>
      <c r="L17" s="4" t="s">
        <v>127</v>
      </c>
      <c r="M17" s="7">
        <v>2002.0</v>
      </c>
      <c r="N17" s="4" t="s">
        <v>128</v>
      </c>
      <c r="O17" s="4" t="s">
        <v>128</v>
      </c>
      <c r="P17" s="7">
        <v>7373.0</v>
      </c>
      <c r="Q17" s="7">
        <v>7370.0</v>
      </c>
      <c r="R17" s="7">
        <v>16.0</v>
      </c>
      <c r="S17" s="4"/>
      <c r="T17" s="4"/>
      <c r="U17" s="4"/>
      <c r="V17" s="4"/>
      <c r="W17" s="4"/>
      <c r="X17" s="4"/>
      <c r="Y17" s="4"/>
    </row>
    <row r="18">
      <c r="A18" s="4" t="s">
        <v>129</v>
      </c>
      <c r="B18" s="7">
        <v>1141391.0</v>
      </c>
      <c r="C18" s="8" t="s">
        <v>20</v>
      </c>
      <c r="D18" s="9" t="s">
        <v>130</v>
      </c>
      <c r="E18" s="4" t="s">
        <v>131</v>
      </c>
      <c r="F18" s="7">
        <v>1141391.0</v>
      </c>
      <c r="G18" s="7">
        <v>1141391.0</v>
      </c>
      <c r="H18" s="4" t="s">
        <v>132</v>
      </c>
      <c r="I18" s="4" t="s">
        <v>133</v>
      </c>
      <c r="J18" s="4" t="s">
        <v>134</v>
      </c>
      <c r="K18" s="4" t="s">
        <v>134</v>
      </c>
      <c r="L18" s="4" t="s">
        <v>134</v>
      </c>
      <c r="M18" s="7">
        <v>2006.0</v>
      </c>
      <c r="N18" s="4" t="s">
        <v>135</v>
      </c>
      <c r="O18" s="4" t="s">
        <v>135</v>
      </c>
      <c r="P18" s="7">
        <v>6141.0</v>
      </c>
      <c r="Q18" s="7">
        <v>7389.0</v>
      </c>
      <c r="R18" s="7">
        <v>39.0</v>
      </c>
      <c r="S18" s="4"/>
      <c r="T18" s="4"/>
      <c r="U18" s="4"/>
      <c r="V18" s="4"/>
      <c r="W18" s="4"/>
      <c r="X18" s="4"/>
      <c r="Y18" s="4"/>
    </row>
    <row r="19">
      <c r="A19" s="4" t="s">
        <v>136</v>
      </c>
      <c r="B19" s="7">
        <v>878612.0</v>
      </c>
      <c r="C19" s="8" t="s">
        <v>20</v>
      </c>
      <c r="D19" s="9" t="s">
        <v>137</v>
      </c>
      <c r="E19" s="4"/>
      <c r="F19" s="4"/>
      <c r="G19" s="4"/>
      <c r="H19" s="4" t="s">
        <v>138</v>
      </c>
      <c r="I19" s="4" t="s">
        <v>139</v>
      </c>
      <c r="J19" s="4" t="s">
        <v>140</v>
      </c>
      <c r="K19" s="4"/>
      <c r="L19" s="4" t="s">
        <v>141</v>
      </c>
      <c r="M19" s="7">
        <v>1994.0</v>
      </c>
      <c r="N19" s="4"/>
      <c r="O19" s="4"/>
      <c r="P19" s="7">
        <v>7372.0</v>
      </c>
      <c r="Q19" s="4"/>
      <c r="R19" s="7">
        <v>7.0</v>
      </c>
      <c r="S19" s="4"/>
      <c r="T19" s="4"/>
      <c r="U19" s="4"/>
      <c r="V19" s="4"/>
      <c r="W19" s="4"/>
      <c r="X19" s="4"/>
      <c r="Y19" s="4"/>
    </row>
    <row r="20">
      <c r="A20" s="4" t="s">
        <v>142</v>
      </c>
      <c r="B20" s="7">
        <v>1634379.0</v>
      </c>
      <c r="C20" s="8" t="s">
        <v>20</v>
      </c>
      <c r="D20" s="9" t="s">
        <v>143</v>
      </c>
      <c r="E20" s="4" t="s">
        <v>144</v>
      </c>
      <c r="F20" s="7">
        <v>1634379.0</v>
      </c>
      <c r="G20" s="4"/>
      <c r="H20" s="4" t="s">
        <v>145</v>
      </c>
      <c r="I20" s="4" t="s">
        <v>146</v>
      </c>
      <c r="J20" s="4" t="s">
        <v>147</v>
      </c>
      <c r="K20" s="4" t="s">
        <v>147</v>
      </c>
      <c r="L20" s="4" t="s">
        <v>147</v>
      </c>
      <c r="M20" s="7">
        <v>2020.0</v>
      </c>
      <c r="N20" s="4" t="s">
        <v>148</v>
      </c>
      <c r="O20" s="4" t="s">
        <v>148</v>
      </c>
      <c r="P20" s="7">
        <v>8731.0</v>
      </c>
      <c r="Q20" s="7">
        <v>2834.0</v>
      </c>
      <c r="R20" s="7">
        <v>13.0</v>
      </c>
      <c r="S20" s="4"/>
      <c r="T20" s="4"/>
      <c r="U20" s="4"/>
      <c r="V20" s="4"/>
      <c r="W20" s="4"/>
      <c r="X20" s="4"/>
      <c r="Y20" s="4"/>
    </row>
    <row r="21">
      <c r="A21" s="4" t="s">
        <v>149</v>
      </c>
      <c r="B21" s="7">
        <v>801051.0</v>
      </c>
      <c r="C21" s="8" t="s">
        <v>20</v>
      </c>
      <c r="D21" s="9" t="s">
        <v>150</v>
      </c>
      <c r="E21" s="4" t="s">
        <v>151</v>
      </c>
      <c r="F21" s="7">
        <v>801051.0</v>
      </c>
      <c r="G21" s="4"/>
      <c r="H21" s="4" t="s">
        <v>152</v>
      </c>
      <c r="I21" s="4" t="s">
        <v>153</v>
      </c>
      <c r="J21" s="4" t="s">
        <v>154</v>
      </c>
      <c r="K21" s="4" t="s">
        <v>154</v>
      </c>
      <c r="L21" s="4"/>
      <c r="M21" s="7">
        <v>1997.0</v>
      </c>
      <c r="N21" s="4" t="s">
        <v>155</v>
      </c>
      <c r="O21" s="4" t="s">
        <v>155</v>
      </c>
      <c r="P21" s="7">
        <v>6282.0</v>
      </c>
      <c r="Q21" s="7">
        <v>6282.0</v>
      </c>
      <c r="R21" s="7">
        <v>13.5</v>
      </c>
      <c r="S21" s="4"/>
      <c r="T21" s="4"/>
      <c r="U21" s="4"/>
      <c r="V21" s="4"/>
      <c r="W21" s="4"/>
      <c r="X21" s="4"/>
      <c r="Y21" s="4"/>
    </row>
    <row r="22">
      <c r="A22" s="4" t="s">
        <v>156</v>
      </c>
      <c r="B22" s="7">
        <v>1168652.0</v>
      </c>
      <c r="C22" s="8" t="s">
        <v>20</v>
      </c>
      <c r="D22" s="9" t="s">
        <v>157</v>
      </c>
      <c r="E22" s="4" t="s">
        <v>158</v>
      </c>
      <c r="F22" s="7">
        <v>1168652.0</v>
      </c>
      <c r="G22" s="4"/>
      <c r="H22" s="4" t="s">
        <v>159</v>
      </c>
      <c r="I22" s="4" t="s">
        <v>160</v>
      </c>
      <c r="J22" s="4" t="s">
        <v>161</v>
      </c>
      <c r="K22" s="4" t="s">
        <v>161</v>
      </c>
      <c r="L22" s="4" t="s">
        <v>161</v>
      </c>
      <c r="M22" s="7">
        <v>2007.0</v>
      </c>
      <c r="N22" s="4" t="s">
        <v>162</v>
      </c>
      <c r="O22" s="4" t="s">
        <v>162</v>
      </c>
      <c r="P22" s="7">
        <v>7381.0</v>
      </c>
      <c r="Q22" s="7">
        <v>7374.0</v>
      </c>
      <c r="R22" s="7">
        <v>15.0</v>
      </c>
      <c r="S22" s="4"/>
      <c r="T22" s="4"/>
      <c r="U22" s="4"/>
      <c r="V22" s="4"/>
      <c r="W22" s="4"/>
      <c r="X22" s="4"/>
      <c r="Y22" s="4"/>
    </row>
    <row r="23">
      <c r="A23" s="4" t="s">
        <v>163</v>
      </c>
      <c r="B23" s="7">
        <v>1491778.0</v>
      </c>
      <c r="C23" s="8" t="s">
        <v>20</v>
      </c>
      <c r="D23" s="9" t="s">
        <v>164</v>
      </c>
      <c r="E23" s="4"/>
      <c r="F23" s="4"/>
      <c r="G23" s="7">
        <v>1705110.0</v>
      </c>
      <c r="H23" s="4" t="s">
        <v>165</v>
      </c>
      <c r="I23" s="4" t="s">
        <v>166</v>
      </c>
      <c r="J23" s="4" t="s">
        <v>167</v>
      </c>
      <c r="K23" s="4"/>
      <c r="L23" s="4" t="s">
        <v>167</v>
      </c>
      <c r="M23" s="7">
        <v>2011.0</v>
      </c>
      <c r="N23" s="4"/>
      <c r="O23" s="4"/>
      <c r="P23" s="7">
        <v>7375.0</v>
      </c>
      <c r="Q23" s="4"/>
      <c r="R23" s="7">
        <v>13.0</v>
      </c>
      <c r="S23" s="4"/>
      <c r="T23" s="4"/>
      <c r="U23" s="4"/>
      <c r="V23" s="4"/>
      <c r="W23" s="4"/>
      <c r="X23" s="4"/>
      <c r="Y23" s="4"/>
    </row>
    <row r="24">
      <c r="A24" s="4" t="s">
        <v>168</v>
      </c>
      <c r="B24" s="7">
        <v>1017906.0</v>
      </c>
      <c r="C24" s="8" t="s">
        <v>20</v>
      </c>
      <c r="D24" s="9" t="s">
        <v>169</v>
      </c>
      <c r="E24" s="4" t="s">
        <v>170</v>
      </c>
      <c r="F24" s="4"/>
      <c r="G24" s="4"/>
      <c r="H24" s="4" t="s">
        <v>171</v>
      </c>
      <c r="I24" s="4" t="s">
        <v>172</v>
      </c>
      <c r="J24" s="4" t="s">
        <v>173</v>
      </c>
      <c r="K24" s="4" t="s">
        <v>174</v>
      </c>
      <c r="L24" s="4" t="s">
        <v>173</v>
      </c>
      <c r="M24" s="7">
        <v>1996.0</v>
      </c>
      <c r="N24" s="4" t="s">
        <v>175</v>
      </c>
      <c r="O24" s="4" t="s">
        <v>175</v>
      </c>
      <c r="P24" s="7">
        <v>8742.0</v>
      </c>
      <c r="Q24" s="7">
        <v>7389.0</v>
      </c>
      <c r="R24" s="7">
        <v>17.0</v>
      </c>
      <c r="S24" s="4"/>
      <c r="T24" s="4"/>
      <c r="U24" s="4"/>
      <c r="V24" s="4"/>
      <c r="W24" s="4"/>
      <c r="X24" s="4"/>
      <c r="Y24" s="4"/>
    </row>
    <row r="25">
      <c r="A25" s="4" t="s">
        <v>176</v>
      </c>
      <c r="B25" s="7">
        <v>1158172.0</v>
      </c>
      <c r="C25" s="8" t="s">
        <v>20</v>
      </c>
      <c r="D25" s="9" t="s">
        <v>177</v>
      </c>
      <c r="E25" s="4" t="s">
        <v>178</v>
      </c>
      <c r="F25" s="7">
        <v>1158172.0</v>
      </c>
      <c r="G25" s="7">
        <v>1158172.0</v>
      </c>
      <c r="H25" s="4" t="s">
        <v>179</v>
      </c>
      <c r="I25" s="4" t="s">
        <v>180</v>
      </c>
      <c r="J25" s="4" t="s">
        <v>181</v>
      </c>
      <c r="K25" s="4" t="s">
        <v>181</v>
      </c>
      <c r="L25" s="4" t="s">
        <v>181</v>
      </c>
      <c r="M25" s="7">
        <v>2007.0</v>
      </c>
      <c r="N25" s="4" t="s">
        <v>182</v>
      </c>
      <c r="O25" s="4" t="s">
        <v>182</v>
      </c>
      <c r="P25" s="7">
        <v>7389.0</v>
      </c>
      <c r="Q25" s="7">
        <v>8742.0</v>
      </c>
      <c r="R25" s="7">
        <v>16.5</v>
      </c>
      <c r="S25" s="4"/>
      <c r="T25" s="4"/>
      <c r="U25" s="4"/>
      <c r="V25" s="4"/>
      <c r="W25" s="4"/>
      <c r="X25" s="4"/>
      <c r="Y25" s="4"/>
    </row>
    <row r="26">
      <c r="A26" s="4" t="s">
        <v>183</v>
      </c>
      <c r="B26" s="7">
        <v>920448.0</v>
      </c>
      <c r="C26" s="8" t="s">
        <v>20</v>
      </c>
      <c r="D26" s="9" t="s">
        <v>184</v>
      </c>
      <c r="E26" s="4" t="s">
        <v>185</v>
      </c>
      <c r="F26" s="7">
        <v>920448.0</v>
      </c>
      <c r="G26" s="4"/>
      <c r="H26" s="4" t="s">
        <v>186</v>
      </c>
      <c r="I26" s="4" t="s">
        <v>187</v>
      </c>
      <c r="J26" s="4" t="s">
        <v>188</v>
      </c>
      <c r="K26" s="4" t="s">
        <v>188</v>
      </c>
      <c r="L26" s="4" t="s">
        <v>188</v>
      </c>
      <c r="M26" s="7">
        <v>1996.0</v>
      </c>
      <c r="N26" s="4" t="s">
        <v>189</v>
      </c>
      <c r="O26" s="4" t="s">
        <v>189</v>
      </c>
      <c r="P26" s="7">
        <v>7372.0</v>
      </c>
      <c r="Q26" s="7">
        <v>7370.0</v>
      </c>
      <c r="R26" s="7">
        <v>7.0</v>
      </c>
      <c r="S26" s="4"/>
      <c r="T26" s="4"/>
      <c r="U26" s="4"/>
      <c r="V26" s="4"/>
      <c r="W26" s="4"/>
      <c r="X26" s="4"/>
      <c r="Y26" s="4"/>
    </row>
    <row r="27">
      <c r="A27" s="4" t="s">
        <v>190</v>
      </c>
      <c r="B27" s="7">
        <v>1750284.0</v>
      </c>
      <c r="C27" s="8" t="s">
        <v>20</v>
      </c>
      <c r="D27" s="9" t="s">
        <v>191</v>
      </c>
      <c r="E27" s="4" t="s">
        <v>192</v>
      </c>
      <c r="F27" s="7">
        <v>1750284.0</v>
      </c>
      <c r="G27" s="7">
        <v>1750284.0</v>
      </c>
      <c r="H27" s="4" t="s">
        <v>193</v>
      </c>
      <c r="I27" s="4" t="s">
        <v>194</v>
      </c>
      <c r="J27" s="4" t="s">
        <v>195</v>
      </c>
      <c r="K27" s="4" t="s">
        <v>195</v>
      </c>
      <c r="L27" s="4" t="s">
        <v>195</v>
      </c>
      <c r="M27" s="7">
        <v>2020.0</v>
      </c>
      <c r="N27" s="4" t="s">
        <v>78</v>
      </c>
      <c r="O27" s="4" t="s">
        <v>78</v>
      </c>
      <c r="P27" s="7">
        <v>8731.0</v>
      </c>
      <c r="Q27" s="7">
        <v>2836.0</v>
      </c>
      <c r="R27" s="7">
        <v>19.0</v>
      </c>
      <c r="S27" s="4"/>
      <c r="T27" s="4"/>
      <c r="U27" s="4"/>
      <c r="V27" s="4"/>
      <c r="W27" s="4"/>
      <c r="X27" s="4"/>
      <c r="Y27" s="4"/>
    </row>
    <row r="28">
      <c r="A28" s="4" t="s">
        <v>196</v>
      </c>
      <c r="B28" s="7">
        <v>1009626.0</v>
      </c>
      <c r="C28" s="8" t="s">
        <v>20</v>
      </c>
      <c r="D28" s="9" t="s">
        <v>197</v>
      </c>
      <c r="E28" s="4" t="s">
        <v>198</v>
      </c>
      <c r="F28" s="7">
        <v>1009626.0</v>
      </c>
      <c r="G28" s="4"/>
      <c r="H28" s="4" t="s">
        <v>199</v>
      </c>
      <c r="I28" s="4" t="s">
        <v>200</v>
      </c>
      <c r="J28" s="4" t="s">
        <v>201</v>
      </c>
      <c r="K28" s="4" t="s">
        <v>201</v>
      </c>
      <c r="L28" s="4" t="s">
        <v>201</v>
      </c>
      <c r="M28" s="7">
        <v>1999.0</v>
      </c>
      <c r="N28" s="4" t="s">
        <v>202</v>
      </c>
      <c r="O28" s="4" t="s">
        <v>202</v>
      </c>
      <c r="P28" s="7">
        <v>7372.0</v>
      </c>
      <c r="Q28" s="7">
        <v>3576.0</v>
      </c>
      <c r="R28" s="7">
        <v>19.0</v>
      </c>
      <c r="S28" s="4"/>
      <c r="T28" s="4"/>
      <c r="U28" s="4"/>
      <c r="V28" s="4"/>
      <c r="W28" s="4"/>
      <c r="X28" s="4"/>
      <c r="Y28" s="4"/>
    </row>
    <row r="29">
      <c r="A29" s="4" t="s">
        <v>203</v>
      </c>
      <c r="B29" s="7">
        <v>946677.0</v>
      </c>
      <c r="C29" s="8" t="s">
        <v>20</v>
      </c>
      <c r="D29" s="9" t="s">
        <v>204</v>
      </c>
      <c r="E29" s="4" t="s">
        <v>205</v>
      </c>
      <c r="F29" s="7">
        <v>946677.0</v>
      </c>
      <c r="G29" s="4"/>
      <c r="H29" s="4" t="s">
        <v>206</v>
      </c>
      <c r="I29" s="4" t="s">
        <v>207</v>
      </c>
      <c r="J29" s="4" t="s">
        <v>208</v>
      </c>
      <c r="K29" s="4" t="s">
        <v>208</v>
      </c>
      <c r="L29" s="4" t="s">
        <v>209</v>
      </c>
      <c r="M29" s="7">
        <v>1995.0</v>
      </c>
      <c r="N29" s="4" t="s">
        <v>210</v>
      </c>
      <c r="O29" s="4" t="s">
        <v>210</v>
      </c>
      <c r="P29" s="7">
        <v>7373.0</v>
      </c>
      <c r="Q29" s="7">
        <v>3678.0</v>
      </c>
      <c r="R29" s="7">
        <v>12.0</v>
      </c>
      <c r="S29" s="4"/>
      <c r="T29" s="4"/>
      <c r="U29" s="4"/>
      <c r="V29" s="4"/>
      <c r="W29" s="4"/>
      <c r="X29" s="4"/>
      <c r="Y29" s="4"/>
    </row>
    <row r="30">
      <c r="A30" s="4" t="s">
        <v>211</v>
      </c>
      <c r="B30" s="7">
        <v>1026493.0</v>
      </c>
      <c r="C30" s="8" t="s">
        <v>20</v>
      </c>
      <c r="D30" s="9" t="s">
        <v>212</v>
      </c>
      <c r="E30" s="4" t="s">
        <v>213</v>
      </c>
      <c r="F30" s="7">
        <v>1026493.0</v>
      </c>
      <c r="G30" s="4"/>
      <c r="H30" s="4" t="s">
        <v>214</v>
      </c>
      <c r="I30" s="4" t="s">
        <v>215</v>
      </c>
      <c r="J30" s="4" t="s">
        <v>216</v>
      </c>
      <c r="K30" s="4" t="s">
        <v>217</v>
      </c>
      <c r="L30" s="4" t="s">
        <v>216</v>
      </c>
      <c r="M30" s="7">
        <v>1997.0</v>
      </c>
      <c r="N30" s="4" t="s">
        <v>218</v>
      </c>
      <c r="O30" s="4" t="s">
        <v>218</v>
      </c>
      <c r="P30" s="7">
        <v>7371.0</v>
      </c>
      <c r="Q30" s="7">
        <v>7370.0</v>
      </c>
      <c r="R30" s="7">
        <v>16.0</v>
      </c>
      <c r="S30" s="4"/>
      <c r="T30" s="4"/>
      <c r="U30" s="4"/>
      <c r="V30" s="4"/>
      <c r="W30" s="4"/>
      <c r="X30" s="4"/>
      <c r="Y30" s="4"/>
    </row>
    <row r="31">
      <c r="A31" s="4" t="s">
        <v>219</v>
      </c>
      <c r="B31" s="7">
        <v>1077301.0</v>
      </c>
      <c r="C31" s="8" t="s">
        <v>20</v>
      </c>
      <c r="D31" s="9" t="s">
        <v>220</v>
      </c>
      <c r="E31" s="4" t="s">
        <v>221</v>
      </c>
      <c r="F31" s="7">
        <v>1077301.0</v>
      </c>
      <c r="G31" s="7">
        <v>2028027.0</v>
      </c>
      <c r="H31" s="4" t="s">
        <v>222</v>
      </c>
      <c r="I31" s="4" t="s">
        <v>223</v>
      </c>
      <c r="J31" s="4" t="s">
        <v>224</v>
      </c>
      <c r="K31" s="4" t="s">
        <v>225</v>
      </c>
      <c r="L31" s="4" t="s">
        <v>224</v>
      </c>
      <c r="M31" s="7">
        <v>1999.0</v>
      </c>
      <c r="N31" s="4" t="s">
        <v>226</v>
      </c>
      <c r="O31" s="4" t="s">
        <v>226</v>
      </c>
      <c r="P31" s="7">
        <v>7372.0</v>
      </c>
      <c r="Q31" s="7">
        <v>7370.0</v>
      </c>
      <c r="R31" s="7">
        <v>13.0</v>
      </c>
      <c r="S31" s="4"/>
      <c r="T31" s="4"/>
      <c r="U31" s="4"/>
      <c r="V31" s="4"/>
      <c r="W31" s="4"/>
      <c r="X31" s="4"/>
      <c r="Y31" s="4"/>
    </row>
    <row r="32">
      <c r="A32" s="4" t="s">
        <v>227</v>
      </c>
      <c r="B32" s="7">
        <v>1060824.0</v>
      </c>
      <c r="C32" s="8" t="s">
        <v>20</v>
      </c>
      <c r="D32" s="9" t="s">
        <v>228</v>
      </c>
      <c r="E32" s="4"/>
      <c r="F32" s="4"/>
      <c r="G32" s="4"/>
      <c r="H32" s="4" t="s">
        <v>229</v>
      </c>
      <c r="I32" s="4" t="s">
        <v>230</v>
      </c>
      <c r="J32" s="4" t="s">
        <v>231</v>
      </c>
      <c r="K32" s="4"/>
      <c r="L32" s="4" t="s">
        <v>231</v>
      </c>
      <c r="M32" s="7">
        <v>2000.0</v>
      </c>
      <c r="N32" s="4"/>
      <c r="O32" s="4"/>
      <c r="P32" s="7">
        <v>7372.0</v>
      </c>
      <c r="Q32" s="4"/>
      <c r="R32" s="7">
        <v>23.0</v>
      </c>
      <c r="S32" s="4"/>
      <c r="T32" s="4"/>
      <c r="U32" s="4"/>
      <c r="V32" s="4"/>
      <c r="W32" s="4"/>
      <c r="X32" s="4"/>
      <c r="Y32" s="4"/>
    </row>
    <row r="33">
      <c r="A33" s="4" t="s">
        <v>232</v>
      </c>
      <c r="B33" s="7">
        <v>1029281.0</v>
      </c>
      <c r="C33" s="8" t="s">
        <v>20</v>
      </c>
      <c r="D33" s="9" t="s">
        <v>233</v>
      </c>
      <c r="E33" s="4" t="s">
        <v>234</v>
      </c>
      <c r="F33" s="7">
        <v>1029281.0</v>
      </c>
      <c r="G33" s="7">
        <v>1416697.0</v>
      </c>
      <c r="H33" s="4" t="s">
        <v>235</v>
      </c>
      <c r="I33" s="4" t="s">
        <v>236</v>
      </c>
      <c r="J33" s="4" t="s">
        <v>237</v>
      </c>
      <c r="K33" s="4" t="s">
        <v>238</v>
      </c>
      <c r="L33" s="4" t="s">
        <v>237</v>
      </c>
      <c r="M33" s="7">
        <v>1997.0</v>
      </c>
      <c r="N33" s="4" t="s">
        <v>239</v>
      </c>
      <c r="O33" s="4" t="s">
        <v>239</v>
      </c>
      <c r="P33" s="7">
        <v>7389.0</v>
      </c>
      <c r="Q33" s="7">
        <v>8742.0</v>
      </c>
      <c r="R33" s="7">
        <v>17.5</v>
      </c>
      <c r="S33" s="4"/>
      <c r="T33" s="4"/>
      <c r="U33" s="4"/>
      <c r="V33" s="4"/>
      <c r="W33" s="4"/>
      <c r="X33" s="4"/>
      <c r="Y33" s="4"/>
    </row>
    <row r="34">
      <c r="A34" s="4" t="s">
        <v>240</v>
      </c>
      <c r="B34" s="7">
        <v>871696.0</v>
      </c>
      <c r="C34" s="8" t="s">
        <v>20</v>
      </c>
      <c r="D34" s="9" t="s">
        <v>241</v>
      </c>
      <c r="E34" s="4" t="s">
        <v>242</v>
      </c>
      <c r="F34" s="4"/>
      <c r="G34" s="4"/>
      <c r="H34" s="4" t="s">
        <v>243</v>
      </c>
      <c r="I34" s="4" t="s">
        <v>244</v>
      </c>
      <c r="J34" s="4" t="s">
        <v>245</v>
      </c>
      <c r="K34" s="4" t="s">
        <v>246</v>
      </c>
      <c r="L34" s="4" t="s">
        <v>245</v>
      </c>
      <c r="M34" s="7">
        <v>1997.0</v>
      </c>
      <c r="N34" s="4" t="s">
        <v>247</v>
      </c>
      <c r="O34" s="4" t="s">
        <v>247</v>
      </c>
      <c r="P34" s="7">
        <v>7372.0</v>
      </c>
      <c r="Q34" s="7">
        <v>7372.0</v>
      </c>
      <c r="R34" s="7">
        <v>13.0</v>
      </c>
      <c r="S34" s="4"/>
      <c r="T34" s="4"/>
      <c r="U34" s="4"/>
      <c r="V34" s="4"/>
      <c r="W34" s="4"/>
      <c r="X34" s="4"/>
      <c r="Y34" s="4"/>
    </row>
    <row r="35">
      <c r="A35" s="4" t="s">
        <v>248</v>
      </c>
      <c r="B35" s="7">
        <v>1058425.0</v>
      </c>
      <c r="C35" s="8" t="s">
        <v>20</v>
      </c>
      <c r="D35" s="9" t="s">
        <v>249</v>
      </c>
      <c r="E35" s="4" t="s">
        <v>250</v>
      </c>
      <c r="F35" s="7">
        <v>1058425.0</v>
      </c>
      <c r="G35" s="4"/>
      <c r="H35" s="4" t="s">
        <v>251</v>
      </c>
      <c r="I35" s="4" t="s">
        <v>252</v>
      </c>
      <c r="J35" s="4" t="s">
        <v>253</v>
      </c>
      <c r="K35" s="4" t="s">
        <v>254</v>
      </c>
      <c r="L35" s="4" t="s">
        <v>253</v>
      </c>
      <c r="M35" s="7">
        <v>1999.0</v>
      </c>
      <c r="N35" s="4" t="s">
        <v>255</v>
      </c>
      <c r="O35" s="4" t="s">
        <v>255</v>
      </c>
      <c r="P35" s="7">
        <v>7372.0</v>
      </c>
      <c r="Q35" s="7">
        <v>7372.0</v>
      </c>
      <c r="R35" s="7">
        <v>9.0</v>
      </c>
      <c r="S35" s="4"/>
      <c r="T35" s="4"/>
      <c r="U35" s="4"/>
      <c r="V35" s="4"/>
      <c r="W35" s="4"/>
      <c r="X35" s="4"/>
      <c r="Y35" s="4"/>
    </row>
    <row r="36">
      <c r="A36" s="4" t="s">
        <v>256</v>
      </c>
      <c r="B36" s="7">
        <v>1020265.0</v>
      </c>
      <c r="C36" s="8" t="s">
        <v>20</v>
      </c>
      <c r="D36" s="9" t="s">
        <v>257</v>
      </c>
      <c r="E36" s="4" t="s">
        <v>258</v>
      </c>
      <c r="F36" s="7">
        <v>1020265.0</v>
      </c>
      <c r="G36" s="4"/>
      <c r="H36" s="4" t="s">
        <v>259</v>
      </c>
      <c r="I36" s="4" t="s">
        <v>260</v>
      </c>
      <c r="J36" s="4" t="s">
        <v>261</v>
      </c>
      <c r="K36" s="4" t="s">
        <v>262</v>
      </c>
      <c r="L36" s="4" t="s">
        <v>263</v>
      </c>
      <c r="M36" s="7">
        <v>1996.0</v>
      </c>
      <c r="N36" s="4" t="s">
        <v>264</v>
      </c>
      <c r="O36" s="4" t="s">
        <v>264</v>
      </c>
      <c r="P36" s="7">
        <v>7374.0</v>
      </c>
      <c r="Q36" s="7">
        <v>7373.0</v>
      </c>
      <c r="R36" s="7">
        <v>27.0</v>
      </c>
      <c r="S36" s="4"/>
      <c r="T36" s="4"/>
      <c r="U36" s="4"/>
      <c r="V36" s="4"/>
      <c r="W36" s="4"/>
      <c r="X36" s="4"/>
      <c r="Y36" s="4"/>
    </row>
    <row r="37">
      <c r="A37" s="4" t="s">
        <v>265</v>
      </c>
      <c r="B37" s="7">
        <v>927628.0</v>
      </c>
      <c r="C37" s="8" t="s">
        <v>20</v>
      </c>
      <c r="D37" s="9" t="s">
        <v>266</v>
      </c>
      <c r="E37" s="4" t="s">
        <v>267</v>
      </c>
      <c r="F37" s="7">
        <v>927628.0</v>
      </c>
      <c r="G37" s="7">
        <v>927628.0</v>
      </c>
      <c r="H37" s="4" t="s">
        <v>268</v>
      </c>
      <c r="I37" s="4" t="s">
        <v>269</v>
      </c>
      <c r="J37" s="4" t="s">
        <v>270</v>
      </c>
      <c r="K37" s="4" t="s">
        <v>270</v>
      </c>
      <c r="L37" s="4" t="s">
        <v>271</v>
      </c>
      <c r="M37" s="7">
        <v>1994.0</v>
      </c>
      <c r="N37" s="4" t="s">
        <v>272</v>
      </c>
      <c r="O37" s="4" t="s">
        <v>272</v>
      </c>
      <c r="P37" s="7">
        <v>6712.0</v>
      </c>
      <c r="Q37" s="7">
        <v>6141.0</v>
      </c>
      <c r="R37" s="7">
        <v>16.0</v>
      </c>
      <c r="S37" s="4"/>
      <c r="T37" s="4"/>
      <c r="U37" s="4"/>
      <c r="V37" s="4"/>
      <c r="W37" s="4"/>
      <c r="X37" s="4"/>
      <c r="Y37" s="4"/>
    </row>
    <row r="38">
      <c r="A38" s="4" t="s">
        <v>273</v>
      </c>
      <c r="B38" s="7">
        <v>928063.0</v>
      </c>
      <c r="C38" s="8" t="s">
        <v>20</v>
      </c>
      <c r="D38" s="9" t="s">
        <v>274</v>
      </c>
      <c r="E38" s="4" t="s">
        <v>275</v>
      </c>
      <c r="F38" s="7">
        <v>928063.0</v>
      </c>
      <c r="G38" s="4"/>
      <c r="H38" s="4" t="s">
        <v>276</v>
      </c>
      <c r="I38" s="4" t="s">
        <v>277</v>
      </c>
      <c r="J38" s="4" t="s">
        <v>278</v>
      </c>
      <c r="K38" s="4" t="s">
        <v>278</v>
      </c>
      <c r="L38" s="4" t="s">
        <v>278</v>
      </c>
      <c r="M38" s="7">
        <v>1996.0</v>
      </c>
      <c r="N38" s="4" t="s">
        <v>279</v>
      </c>
      <c r="O38" s="4" t="s">
        <v>279</v>
      </c>
      <c r="P38" s="7">
        <v>7312.0</v>
      </c>
      <c r="Q38" s="7">
        <v>7310.0</v>
      </c>
      <c r="R38" s="7">
        <v>14.5</v>
      </c>
      <c r="S38" s="4"/>
      <c r="T38" s="4"/>
      <c r="U38" s="4"/>
      <c r="V38" s="4"/>
      <c r="W38" s="4"/>
      <c r="X38" s="4"/>
      <c r="Y38" s="4"/>
    </row>
    <row r="39">
      <c r="A39" s="4" t="s">
        <v>280</v>
      </c>
      <c r="B39" s="7">
        <v>1054538.0</v>
      </c>
      <c r="C39" s="8" t="s">
        <v>20</v>
      </c>
      <c r="D39" s="9" t="s">
        <v>281</v>
      </c>
      <c r="E39" s="4" t="s">
        <v>282</v>
      </c>
      <c r="F39" s="7">
        <v>1054538.0</v>
      </c>
      <c r="G39" s="4"/>
      <c r="H39" s="4" t="s">
        <v>283</v>
      </c>
      <c r="I39" s="4" t="s">
        <v>284</v>
      </c>
      <c r="J39" s="4" t="s">
        <v>285</v>
      </c>
      <c r="K39" s="4" t="s">
        <v>285</v>
      </c>
      <c r="L39" s="4" t="s">
        <v>285</v>
      </c>
      <c r="M39" s="7">
        <v>1998.0</v>
      </c>
      <c r="N39" s="4" t="s">
        <v>286</v>
      </c>
      <c r="O39" s="4" t="s">
        <v>286</v>
      </c>
      <c r="P39" s="7">
        <v>6022.0</v>
      </c>
      <c r="Q39" s="7">
        <v>6020.0</v>
      </c>
      <c r="R39" s="7">
        <v>13.0</v>
      </c>
      <c r="S39" s="4"/>
      <c r="T39" s="4"/>
      <c r="U39" s="4"/>
      <c r="V39" s="4"/>
      <c r="W39" s="4"/>
      <c r="X39" s="4"/>
      <c r="Y39" s="4"/>
    </row>
    <row r="40">
      <c r="A40" s="4" t="s">
        <v>287</v>
      </c>
      <c r="B40" s="7">
        <v>1013149.0</v>
      </c>
      <c r="C40" s="8" t="s">
        <v>20</v>
      </c>
      <c r="D40" s="9" t="s">
        <v>288</v>
      </c>
      <c r="E40" s="4" t="s">
        <v>289</v>
      </c>
      <c r="F40" s="7">
        <v>1013149.0</v>
      </c>
      <c r="G40" s="4"/>
      <c r="H40" s="4" t="s">
        <v>290</v>
      </c>
      <c r="I40" s="4" t="s">
        <v>291</v>
      </c>
      <c r="J40" s="4" t="s">
        <v>292</v>
      </c>
      <c r="K40" s="4" t="s">
        <v>293</v>
      </c>
      <c r="L40" s="4" t="s">
        <v>292</v>
      </c>
      <c r="M40" s="7">
        <v>1996.0</v>
      </c>
      <c r="N40" s="4" t="s">
        <v>294</v>
      </c>
      <c r="O40" s="4" t="s">
        <v>294</v>
      </c>
      <c r="P40" s="7">
        <v>7389.0</v>
      </c>
      <c r="Q40" s="7">
        <v>7389.0</v>
      </c>
      <c r="R40" s="7">
        <v>16.0</v>
      </c>
      <c r="S40" s="4"/>
      <c r="T40" s="4"/>
      <c r="U40" s="4"/>
      <c r="V40" s="4"/>
      <c r="W40" s="4"/>
      <c r="X40" s="4"/>
      <c r="Y40" s="4"/>
    </row>
    <row r="41">
      <c r="A41" s="4" t="s">
        <v>295</v>
      </c>
      <c r="B41" s="7">
        <v>1005268.0</v>
      </c>
      <c r="C41" s="8" t="s">
        <v>20</v>
      </c>
      <c r="D41" s="9" t="s">
        <v>296</v>
      </c>
      <c r="E41" s="4" t="s">
        <v>297</v>
      </c>
      <c r="F41" s="7">
        <v>1005268.0</v>
      </c>
      <c r="G41" s="4"/>
      <c r="H41" s="4" t="s">
        <v>298</v>
      </c>
      <c r="I41" s="4" t="s">
        <v>299</v>
      </c>
      <c r="J41" s="4" t="s">
        <v>300</v>
      </c>
      <c r="K41" s="4" t="s">
        <v>301</v>
      </c>
      <c r="L41" s="4" t="s">
        <v>300</v>
      </c>
      <c r="M41" s="7">
        <v>1996.0</v>
      </c>
      <c r="N41" s="4" t="s">
        <v>302</v>
      </c>
      <c r="O41" s="4" t="s">
        <v>302</v>
      </c>
      <c r="P41" s="7">
        <v>7371.0</v>
      </c>
      <c r="Q41" s="7">
        <v>7363.0</v>
      </c>
      <c r="R41" s="7">
        <v>15.5</v>
      </c>
      <c r="S41" s="4"/>
      <c r="T41" s="4"/>
      <c r="U41" s="4"/>
      <c r="V41" s="4"/>
      <c r="W41" s="4"/>
      <c r="X41" s="4"/>
      <c r="Y41" s="4"/>
    </row>
    <row r="42">
      <c r="A42" s="4" t="s">
        <v>303</v>
      </c>
      <c r="B42" s="7">
        <v>1451951.0</v>
      </c>
      <c r="C42" s="8" t="s">
        <v>20</v>
      </c>
      <c r="D42" s="9" t="s">
        <v>304</v>
      </c>
      <c r="E42" s="4" t="s">
        <v>305</v>
      </c>
      <c r="F42" s="7">
        <v>1451951.0</v>
      </c>
      <c r="G42" s="4"/>
      <c r="H42" s="4" t="s">
        <v>306</v>
      </c>
      <c r="I42" s="4" t="s">
        <v>307</v>
      </c>
      <c r="J42" s="4" t="s">
        <v>308</v>
      </c>
      <c r="K42" s="4" t="s">
        <v>309</v>
      </c>
      <c r="L42" s="4" t="s">
        <v>308</v>
      </c>
      <c r="M42" s="7">
        <v>2011.0</v>
      </c>
      <c r="N42" s="4" t="s">
        <v>310</v>
      </c>
      <c r="O42" s="4" t="s">
        <v>310</v>
      </c>
      <c r="P42" s="7">
        <v>7375.0</v>
      </c>
      <c r="Q42" s="7">
        <v>7370.0</v>
      </c>
      <c r="R42" s="7">
        <v>10.0</v>
      </c>
      <c r="S42" s="4"/>
      <c r="T42" s="4"/>
      <c r="U42" s="4"/>
      <c r="V42" s="4"/>
      <c r="W42" s="4"/>
      <c r="X42" s="4"/>
      <c r="Y42" s="4"/>
    </row>
    <row r="43">
      <c r="A43" s="4" t="s">
        <v>311</v>
      </c>
      <c r="B43" s="7">
        <v>1043431.0</v>
      </c>
      <c r="C43" s="8" t="s">
        <v>20</v>
      </c>
      <c r="D43" s="9" t="s">
        <v>312</v>
      </c>
      <c r="E43" s="4"/>
      <c r="F43" s="4"/>
      <c r="G43" s="4"/>
      <c r="H43" s="4" t="s">
        <v>313</v>
      </c>
      <c r="I43" s="4" t="s">
        <v>314</v>
      </c>
      <c r="J43" s="4" t="s">
        <v>315</v>
      </c>
      <c r="K43" s="4"/>
      <c r="L43" s="4" t="s">
        <v>315</v>
      </c>
      <c r="M43" s="7">
        <v>1997.0</v>
      </c>
      <c r="N43" s="4"/>
      <c r="O43" s="4"/>
      <c r="P43" s="7">
        <v>7372.0</v>
      </c>
      <c r="Q43" s="4"/>
      <c r="R43" s="7">
        <v>13.0</v>
      </c>
      <c r="S43" s="4"/>
      <c r="T43" s="4"/>
      <c r="U43" s="4"/>
      <c r="V43" s="4"/>
      <c r="W43" s="4"/>
      <c r="X43" s="4"/>
      <c r="Y43" s="4"/>
    </row>
    <row r="44">
      <c r="A44" s="4" t="s">
        <v>316</v>
      </c>
      <c r="B44" s="7">
        <v>1475274.0</v>
      </c>
      <c r="C44" s="8" t="s">
        <v>20</v>
      </c>
      <c r="D44" s="9" t="s">
        <v>317</v>
      </c>
      <c r="E44" s="4" t="s">
        <v>318</v>
      </c>
      <c r="F44" s="7">
        <v>1475274.0</v>
      </c>
      <c r="G44" s="4"/>
      <c r="H44" s="4" t="s">
        <v>319</v>
      </c>
      <c r="I44" s="4" t="s">
        <v>320</v>
      </c>
      <c r="J44" s="4" t="s">
        <v>321</v>
      </c>
      <c r="K44" s="4" t="s">
        <v>322</v>
      </c>
      <c r="L44" s="4" t="s">
        <v>321</v>
      </c>
      <c r="M44" s="7">
        <v>2013.0</v>
      </c>
      <c r="N44" s="4" t="s">
        <v>323</v>
      </c>
      <c r="O44" s="4" t="s">
        <v>323</v>
      </c>
      <c r="P44" s="7">
        <v>7375.0</v>
      </c>
      <c r="Q44" s="7">
        <v>7370.0</v>
      </c>
      <c r="R44" s="7">
        <v>21.0</v>
      </c>
      <c r="S44" s="4"/>
      <c r="T44" s="4"/>
      <c r="U44" s="4"/>
      <c r="V44" s="4"/>
      <c r="W44" s="4"/>
      <c r="X44" s="4"/>
      <c r="Y44" s="4"/>
    </row>
    <row r="45">
      <c r="A45" s="4" t="s">
        <v>324</v>
      </c>
      <c r="B45" s="7">
        <v>1006030.0</v>
      </c>
      <c r="C45" s="8" t="s">
        <v>20</v>
      </c>
      <c r="D45" s="9" t="s">
        <v>325</v>
      </c>
      <c r="E45" s="4"/>
      <c r="F45" s="4"/>
      <c r="G45" s="7">
        <v>1603345.0</v>
      </c>
      <c r="H45" s="4" t="s">
        <v>326</v>
      </c>
      <c r="I45" s="4" t="s">
        <v>327</v>
      </c>
      <c r="J45" s="4" t="s">
        <v>328</v>
      </c>
      <c r="K45" s="4"/>
      <c r="L45" s="4" t="s">
        <v>328</v>
      </c>
      <c r="M45" s="7">
        <v>1996.0</v>
      </c>
      <c r="N45" s="4"/>
      <c r="O45" s="4"/>
      <c r="P45" s="7">
        <v>7336.0</v>
      </c>
      <c r="Q45" s="4"/>
      <c r="R45" s="7">
        <v>12.0</v>
      </c>
      <c r="S45" s="4"/>
      <c r="T45" s="4"/>
      <c r="U45" s="4"/>
      <c r="V45" s="4"/>
      <c r="W45" s="4"/>
      <c r="X45" s="4"/>
      <c r="Y45" s="4"/>
    </row>
    <row r="46">
      <c r="A46" s="4" t="s">
        <v>329</v>
      </c>
      <c r="B46" s="7">
        <v>1036071.0</v>
      </c>
      <c r="C46" s="8" t="s">
        <v>20</v>
      </c>
      <c r="D46" s="9" t="s">
        <v>330</v>
      </c>
      <c r="E46" s="4" t="s">
        <v>331</v>
      </c>
      <c r="F46" s="7">
        <v>1036071.0</v>
      </c>
      <c r="G46" s="4"/>
      <c r="H46" s="4" t="s">
        <v>332</v>
      </c>
      <c r="I46" s="4" t="s">
        <v>333</v>
      </c>
      <c r="J46" s="4" t="s">
        <v>334</v>
      </c>
      <c r="K46" s="4" t="s">
        <v>334</v>
      </c>
      <c r="L46" s="4" t="s">
        <v>334</v>
      </c>
      <c r="M46" s="7">
        <v>1997.0</v>
      </c>
      <c r="N46" s="4"/>
      <c r="O46" s="4"/>
      <c r="P46" s="7">
        <v>6162.0</v>
      </c>
      <c r="Q46" s="7">
        <v>6162.0</v>
      </c>
      <c r="R46" s="7">
        <v>5.0</v>
      </c>
      <c r="S46" s="4"/>
      <c r="T46" s="4"/>
      <c r="U46" s="4"/>
      <c r="V46" s="4"/>
      <c r="W46" s="4"/>
      <c r="X46" s="4"/>
      <c r="Y46" s="4"/>
    </row>
    <row r="47">
      <c r="A47" s="4" t="s">
        <v>335</v>
      </c>
      <c r="B47" s="7">
        <v>1034650.0</v>
      </c>
      <c r="C47" s="8" t="s">
        <v>20</v>
      </c>
      <c r="D47" s="9" t="s">
        <v>281</v>
      </c>
      <c r="E47" s="4" t="s">
        <v>336</v>
      </c>
      <c r="F47" s="4"/>
      <c r="G47" s="4"/>
      <c r="H47" s="4" t="s">
        <v>337</v>
      </c>
      <c r="I47" s="4" t="s">
        <v>338</v>
      </c>
      <c r="J47" s="4" t="s">
        <v>339</v>
      </c>
      <c r="K47" s="4" t="s">
        <v>339</v>
      </c>
      <c r="L47" s="4" t="s">
        <v>339</v>
      </c>
      <c r="M47" s="7">
        <v>2000.0</v>
      </c>
      <c r="N47" s="4"/>
      <c r="O47" s="4"/>
      <c r="P47" s="7">
        <v>6035.0</v>
      </c>
      <c r="Q47" s="7">
        <v>6036.0</v>
      </c>
      <c r="R47" s="7">
        <v>10.0</v>
      </c>
      <c r="S47" s="4"/>
      <c r="T47" s="4"/>
      <c r="U47" s="4"/>
      <c r="V47" s="4"/>
      <c r="W47" s="4"/>
      <c r="X47" s="4"/>
      <c r="Y47" s="4"/>
    </row>
    <row r="48">
      <c r="A48" s="4" t="s">
        <v>340</v>
      </c>
      <c r="B48" s="7">
        <v>1330421.0</v>
      </c>
      <c r="C48" s="8" t="s">
        <v>20</v>
      </c>
      <c r="D48" s="9" t="s">
        <v>341</v>
      </c>
      <c r="E48" s="4"/>
      <c r="F48" s="4"/>
      <c r="G48" s="4"/>
      <c r="H48" s="4" t="s">
        <v>342</v>
      </c>
      <c r="I48" s="4" t="s">
        <v>343</v>
      </c>
      <c r="J48" s="4"/>
      <c r="K48" s="4"/>
      <c r="L48" s="4"/>
      <c r="M48" s="7">
        <v>2012.0</v>
      </c>
      <c r="N48" s="4"/>
      <c r="O48" s="4"/>
      <c r="P48" s="7">
        <v>7372.0</v>
      </c>
      <c r="Q48" s="4"/>
      <c r="R48" s="7">
        <v>12.0</v>
      </c>
      <c r="S48" s="4"/>
      <c r="T48" s="4"/>
      <c r="U48" s="4"/>
      <c r="V48" s="4"/>
      <c r="W48" s="4"/>
      <c r="X48" s="4"/>
      <c r="Y48" s="4"/>
    </row>
    <row r="49">
      <c r="A49" s="4" t="s">
        <v>344</v>
      </c>
      <c r="B49" s="7">
        <v>1009988.0</v>
      </c>
      <c r="C49" s="8" t="s">
        <v>20</v>
      </c>
      <c r="D49" s="9" t="s">
        <v>345</v>
      </c>
      <c r="E49" s="4" t="s">
        <v>346</v>
      </c>
      <c r="F49" s="7">
        <v>1009988.0</v>
      </c>
      <c r="G49" s="4"/>
      <c r="H49" s="4" t="s">
        <v>347</v>
      </c>
      <c r="I49" s="4" t="s">
        <v>348</v>
      </c>
      <c r="J49" s="4" t="s">
        <v>349</v>
      </c>
      <c r="K49" s="4" t="s">
        <v>350</v>
      </c>
      <c r="L49" s="4" t="s">
        <v>349</v>
      </c>
      <c r="M49" s="7">
        <v>1997.0</v>
      </c>
      <c r="N49" s="4" t="s">
        <v>351</v>
      </c>
      <c r="O49" s="4" t="s">
        <v>351</v>
      </c>
      <c r="P49" s="7">
        <v>7389.0</v>
      </c>
      <c r="Q49" s="7">
        <v>8090.0</v>
      </c>
      <c r="R49" s="7">
        <v>12.0</v>
      </c>
      <c r="S49" s="4"/>
      <c r="T49" s="4"/>
      <c r="U49" s="4"/>
      <c r="V49" s="4"/>
      <c r="W49" s="4"/>
      <c r="X49" s="4"/>
      <c r="Y49" s="4"/>
    </row>
    <row r="50">
      <c r="A50" s="4" t="s">
        <v>352</v>
      </c>
      <c r="B50" s="7">
        <v>1627014.0</v>
      </c>
      <c r="C50" s="8" t="s">
        <v>20</v>
      </c>
      <c r="D50" s="9" t="s">
        <v>353</v>
      </c>
      <c r="E50" s="4"/>
      <c r="F50" s="4"/>
      <c r="G50" s="4"/>
      <c r="H50" s="4" t="s">
        <v>354</v>
      </c>
      <c r="I50" s="4" t="s">
        <v>355</v>
      </c>
      <c r="J50" s="4" t="s">
        <v>356</v>
      </c>
      <c r="K50" s="4"/>
      <c r="L50" s="4" t="s">
        <v>357</v>
      </c>
      <c r="M50" s="7">
        <v>2015.0</v>
      </c>
      <c r="N50" s="4"/>
      <c r="O50" s="4"/>
      <c r="P50" s="7">
        <v>7374.0</v>
      </c>
      <c r="Q50" s="4"/>
      <c r="R50" s="7">
        <v>24.5</v>
      </c>
      <c r="S50" s="4"/>
      <c r="T50" s="4"/>
      <c r="U50" s="4"/>
      <c r="V50" s="4"/>
      <c r="W50" s="4"/>
      <c r="X50" s="4"/>
      <c r="Y50" s="4"/>
    </row>
    <row r="51">
      <c r="A51" s="4" t="s">
        <v>358</v>
      </c>
      <c r="B51" s="7">
        <v>1108341.0</v>
      </c>
      <c r="C51" s="8" t="s">
        <v>20</v>
      </c>
      <c r="D51" s="9" t="s">
        <v>359</v>
      </c>
      <c r="E51" s="4" t="s">
        <v>360</v>
      </c>
      <c r="F51" s="7">
        <v>1108341.0</v>
      </c>
      <c r="G51" s="4"/>
      <c r="H51" s="4" t="s">
        <v>361</v>
      </c>
      <c r="I51" s="4" t="s">
        <v>362</v>
      </c>
      <c r="J51" s="4" t="s">
        <v>363</v>
      </c>
      <c r="K51" s="4" t="s">
        <v>363</v>
      </c>
      <c r="L51" s="4" t="s">
        <v>363</v>
      </c>
      <c r="M51" s="7">
        <v>2000.0</v>
      </c>
      <c r="N51" s="4" t="s">
        <v>364</v>
      </c>
      <c r="O51" s="4" t="s">
        <v>364</v>
      </c>
      <c r="P51" s="7">
        <v>7361.0</v>
      </c>
      <c r="Q51" s="7">
        <v>8742.0</v>
      </c>
      <c r="R51" s="7">
        <v>10.0</v>
      </c>
      <c r="S51" s="4"/>
      <c r="T51" s="4"/>
      <c r="U51" s="4"/>
      <c r="V51" s="4"/>
      <c r="W51" s="4"/>
      <c r="X51" s="4"/>
      <c r="Y51" s="4"/>
    </row>
    <row r="52">
      <c r="A52" s="4" t="s">
        <v>365</v>
      </c>
      <c r="B52" s="7">
        <v>1022844.0</v>
      </c>
      <c r="C52" s="8" t="s">
        <v>20</v>
      </c>
      <c r="D52" s="9" t="s">
        <v>366</v>
      </c>
      <c r="E52" s="4"/>
      <c r="F52" s="4"/>
      <c r="G52" s="4"/>
      <c r="H52" s="4" t="s">
        <v>367</v>
      </c>
      <c r="I52" s="4" t="s">
        <v>368</v>
      </c>
      <c r="J52" s="4" t="s">
        <v>369</v>
      </c>
      <c r="K52" s="4"/>
      <c r="L52" s="4" t="s">
        <v>369</v>
      </c>
      <c r="M52" s="7">
        <v>1996.0</v>
      </c>
      <c r="N52" s="4"/>
      <c r="O52" s="4"/>
      <c r="P52" s="7">
        <v>7372.0</v>
      </c>
      <c r="Q52" s="4"/>
      <c r="R52" s="7">
        <v>5.0</v>
      </c>
      <c r="S52" s="4"/>
      <c r="T52" s="4"/>
      <c r="U52" s="4"/>
      <c r="V52" s="4"/>
      <c r="W52" s="4"/>
      <c r="X52" s="4"/>
      <c r="Y52" s="4"/>
    </row>
    <row r="53">
      <c r="A53" s="4" t="s">
        <v>370</v>
      </c>
      <c r="B53" s="7">
        <v>1637715.0</v>
      </c>
      <c r="C53" s="8" t="s">
        <v>20</v>
      </c>
      <c r="D53" s="9" t="s">
        <v>371</v>
      </c>
      <c r="E53" s="4"/>
      <c r="F53" s="4"/>
      <c r="G53" s="4"/>
      <c r="H53" s="4" t="s">
        <v>372</v>
      </c>
      <c r="I53" s="4" t="s">
        <v>373</v>
      </c>
      <c r="J53" s="4" t="s">
        <v>374</v>
      </c>
      <c r="K53" s="4"/>
      <c r="L53" s="4" t="s">
        <v>374</v>
      </c>
      <c r="M53" s="7">
        <v>2021.0</v>
      </c>
      <c r="N53" s="4"/>
      <c r="O53" s="4"/>
      <c r="P53" s="7">
        <v>8731.0</v>
      </c>
      <c r="Q53" s="4"/>
      <c r="R53" s="7">
        <v>15.0</v>
      </c>
      <c r="S53" s="4"/>
      <c r="T53" s="4"/>
      <c r="U53" s="4"/>
      <c r="V53" s="4"/>
      <c r="W53" s="4"/>
      <c r="X53" s="4"/>
      <c r="Y53" s="4"/>
    </row>
    <row r="54">
      <c r="A54" s="4" t="s">
        <v>375</v>
      </c>
      <c r="B54" s="7">
        <v>1619917.0</v>
      </c>
      <c r="C54" s="8" t="s">
        <v>20</v>
      </c>
      <c r="D54" s="9" t="s">
        <v>376</v>
      </c>
      <c r="E54" s="4" t="s">
        <v>377</v>
      </c>
      <c r="F54" s="7">
        <v>1619917.0</v>
      </c>
      <c r="G54" s="7">
        <v>2001288.0</v>
      </c>
      <c r="H54" s="4" t="s">
        <v>378</v>
      </c>
      <c r="I54" s="4" t="s">
        <v>379</v>
      </c>
      <c r="J54" s="4" t="s">
        <v>380</v>
      </c>
      <c r="K54" s="4" t="s">
        <v>381</v>
      </c>
      <c r="L54" s="4" t="s">
        <v>380</v>
      </c>
      <c r="M54" s="7">
        <v>2015.0</v>
      </c>
      <c r="N54" s="4" t="s">
        <v>382</v>
      </c>
      <c r="O54" s="4" t="s">
        <v>382</v>
      </c>
      <c r="P54" s="7">
        <v>6411.0</v>
      </c>
      <c r="Q54" s="7">
        <v>6411.0</v>
      </c>
      <c r="R54" s="7">
        <v>14.0</v>
      </c>
      <c r="S54" s="4"/>
      <c r="T54" s="4"/>
      <c r="U54" s="4"/>
      <c r="V54" s="4"/>
      <c r="W54" s="4"/>
      <c r="X54" s="4"/>
      <c r="Y54" s="4"/>
    </row>
    <row r="55">
      <c r="A55" s="4" t="s">
        <v>383</v>
      </c>
      <c r="B55" s="7">
        <v>1087943.0</v>
      </c>
      <c r="C55" s="8" t="s">
        <v>20</v>
      </c>
      <c r="D55" s="9" t="s">
        <v>384</v>
      </c>
      <c r="E55" s="4" t="s">
        <v>385</v>
      </c>
      <c r="F55" s="7">
        <v>1087943.0</v>
      </c>
      <c r="G55" s="4"/>
      <c r="H55" s="4" t="s">
        <v>386</v>
      </c>
      <c r="I55" s="4" t="s">
        <v>387</v>
      </c>
      <c r="J55" s="4" t="s">
        <v>388</v>
      </c>
      <c r="K55" s="4" t="s">
        <v>388</v>
      </c>
      <c r="L55" s="4" t="s">
        <v>388</v>
      </c>
      <c r="M55" s="7">
        <v>1999.0</v>
      </c>
      <c r="N55" s="4" t="s">
        <v>389</v>
      </c>
      <c r="O55" s="4" t="s">
        <v>389</v>
      </c>
      <c r="P55" s="7">
        <v>7311.0</v>
      </c>
      <c r="Q55" s="7">
        <v>7370.0</v>
      </c>
      <c r="R55" s="7">
        <v>11.0</v>
      </c>
      <c r="S55" s="4"/>
      <c r="T55" s="4"/>
      <c r="U55" s="4"/>
      <c r="V55" s="4"/>
      <c r="W55" s="4"/>
      <c r="X55" s="4"/>
      <c r="Y55" s="4"/>
    </row>
    <row r="56">
      <c r="A56" s="4" t="s">
        <v>390</v>
      </c>
      <c r="B56" s="7">
        <v>1010305.0</v>
      </c>
      <c r="C56" s="8" t="s">
        <v>20</v>
      </c>
      <c r="D56" s="9" t="s">
        <v>391</v>
      </c>
      <c r="E56" s="4" t="s">
        <v>392</v>
      </c>
      <c r="F56" s="7">
        <v>1010305.0</v>
      </c>
      <c r="G56" s="4"/>
      <c r="H56" s="4" t="s">
        <v>393</v>
      </c>
      <c r="I56" s="4" t="s">
        <v>394</v>
      </c>
      <c r="J56" s="4" t="s">
        <v>395</v>
      </c>
      <c r="K56" s="4" t="s">
        <v>396</v>
      </c>
      <c r="L56" s="4" t="s">
        <v>395</v>
      </c>
      <c r="M56" s="7">
        <v>1996.0</v>
      </c>
      <c r="N56" s="4" t="s">
        <v>397</v>
      </c>
      <c r="O56" s="4" t="s">
        <v>397</v>
      </c>
      <c r="P56" s="7">
        <v>7376.0</v>
      </c>
      <c r="Q56" s="7">
        <v>5045.0</v>
      </c>
      <c r="R56" s="7">
        <v>8.0</v>
      </c>
      <c r="S56" s="4"/>
      <c r="T56" s="4"/>
      <c r="U56" s="4"/>
      <c r="V56" s="4"/>
      <c r="W56" s="4"/>
      <c r="X56" s="4"/>
      <c r="Y56" s="4"/>
    </row>
    <row r="57">
      <c r="A57" s="4" t="s">
        <v>398</v>
      </c>
      <c r="B57" s="7">
        <v>1741830.0</v>
      </c>
      <c r="C57" s="8" t="s">
        <v>20</v>
      </c>
      <c r="D57" s="9" t="s">
        <v>191</v>
      </c>
      <c r="E57" s="4" t="s">
        <v>399</v>
      </c>
      <c r="F57" s="7">
        <v>1741830.0</v>
      </c>
      <c r="G57" s="7">
        <v>1741830.0</v>
      </c>
      <c r="H57" s="4" t="s">
        <v>400</v>
      </c>
      <c r="I57" s="4" t="s">
        <v>401</v>
      </c>
      <c r="J57" s="4" t="s">
        <v>402</v>
      </c>
      <c r="K57" s="4" t="s">
        <v>402</v>
      </c>
      <c r="L57" s="4" t="s">
        <v>402</v>
      </c>
      <c r="M57" s="7">
        <v>2020.0</v>
      </c>
      <c r="N57" s="4" t="s">
        <v>97</v>
      </c>
      <c r="O57" s="4" t="s">
        <v>97</v>
      </c>
      <c r="P57" s="7">
        <v>8731.0</v>
      </c>
      <c r="Q57" s="7">
        <v>2836.0</v>
      </c>
      <c r="R57" s="7">
        <v>19.0</v>
      </c>
      <c r="S57" s="4"/>
      <c r="T57" s="4"/>
      <c r="U57" s="4"/>
      <c r="V57" s="4"/>
      <c r="W57" s="4"/>
      <c r="X57" s="4"/>
      <c r="Y57" s="4"/>
    </row>
    <row r="58">
      <c r="A58" s="4" t="s">
        <v>403</v>
      </c>
      <c r="B58" s="7">
        <v>1018728.0</v>
      </c>
      <c r="C58" s="8" t="s">
        <v>20</v>
      </c>
      <c r="D58" s="9" t="s">
        <v>404</v>
      </c>
      <c r="E58" s="4" t="s">
        <v>405</v>
      </c>
      <c r="F58" s="4"/>
      <c r="G58" s="4"/>
      <c r="H58" s="4" t="s">
        <v>406</v>
      </c>
      <c r="I58" s="4" t="s">
        <v>407</v>
      </c>
      <c r="J58" s="4" t="s">
        <v>408</v>
      </c>
      <c r="K58" s="4" t="s">
        <v>408</v>
      </c>
      <c r="L58" s="4" t="s">
        <v>408</v>
      </c>
      <c r="M58" s="7">
        <v>1996.0</v>
      </c>
      <c r="N58" s="4" t="s">
        <v>409</v>
      </c>
      <c r="O58" s="4" t="s">
        <v>409</v>
      </c>
      <c r="P58" s="7">
        <v>7372.0</v>
      </c>
      <c r="Q58" s="7">
        <v>7372.0</v>
      </c>
      <c r="R58" s="7">
        <v>12.0</v>
      </c>
      <c r="S58" s="4"/>
      <c r="T58" s="4"/>
      <c r="U58" s="4"/>
      <c r="V58" s="4"/>
      <c r="W58" s="4"/>
      <c r="X58" s="4"/>
      <c r="Y58" s="4"/>
    </row>
    <row r="59">
      <c r="A59" s="4" t="s">
        <v>410</v>
      </c>
      <c r="B59" s="7">
        <v>852618.0</v>
      </c>
      <c r="C59" s="8" t="s">
        <v>20</v>
      </c>
      <c r="D59" s="9" t="s">
        <v>281</v>
      </c>
      <c r="E59" s="4" t="s">
        <v>411</v>
      </c>
      <c r="F59" s="7">
        <v>852618.0</v>
      </c>
      <c r="G59" s="4"/>
      <c r="H59" s="4" t="s">
        <v>412</v>
      </c>
      <c r="I59" s="4" t="s">
        <v>413</v>
      </c>
      <c r="J59" s="4" t="s">
        <v>414</v>
      </c>
      <c r="K59" s="4" t="s">
        <v>415</v>
      </c>
      <c r="L59" s="4" t="s">
        <v>416</v>
      </c>
      <c r="M59" s="7">
        <v>1999.0</v>
      </c>
      <c r="N59" s="4" t="s">
        <v>417</v>
      </c>
      <c r="O59" s="4" t="s">
        <v>417</v>
      </c>
      <c r="P59" s="7">
        <v>6021.0</v>
      </c>
      <c r="Q59" s="7">
        <v>6020.0</v>
      </c>
      <c r="R59" s="7">
        <v>10.25</v>
      </c>
      <c r="S59" s="4"/>
      <c r="T59" s="4"/>
      <c r="U59" s="4"/>
      <c r="V59" s="4"/>
      <c r="W59" s="4"/>
      <c r="X59" s="4"/>
      <c r="Y59" s="4"/>
    </row>
    <row r="60">
      <c r="A60" s="4" t="s">
        <v>418</v>
      </c>
      <c r="B60" s="7">
        <v>935724.0</v>
      </c>
      <c r="C60" s="8" t="s">
        <v>20</v>
      </c>
      <c r="D60" s="9" t="s">
        <v>419</v>
      </c>
      <c r="E60" s="4" t="s">
        <v>420</v>
      </c>
      <c r="F60" s="7">
        <v>935724.0</v>
      </c>
      <c r="G60" s="4"/>
      <c r="H60" s="4" t="s">
        <v>421</v>
      </c>
      <c r="I60" s="4" t="s">
        <v>422</v>
      </c>
      <c r="J60" s="4" t="s">
        <v>423</v>
      </c>
      <c r="K60" s="4" t="s">
        <v>424</v>
      </c>
      <c r="L60" s="4" t="s">
        <v>425</v>
      </c>
      <c r="M60" s="7">
        <v>1995.0</v>
      </c>
      <c r="N60" s="4" t="s">
        <v>426</v>
      </c>
      <c r="O60" s="4" t="s">
        <v>426</v>
      </c>
      <c r="P60" s="7">
        <v>6351.0</v>
      </c>
      <c r="Q60" s="7">
        <v>6351.0</v>
      </c>
      <c r="R60" s="7">
        <v>34.0</v>
      </c>
      <c r="S60" s="4"/>
      <c r="T60" s="4"/>
      <c r="U60" s="4"/>
      <c r="V60" s="4"/>
      <c r="W60" s="4"/>
      <c r="X60" s="4"/>
      <c r="Y60" s="4"/>
    </row>
    <row r="61">
      <c r="A61" s="4" t="s">
        <v>427</v>
      </c>
      <c r="B61" s="7">
        <v>1362599.0</v>
      </c>
      <c r="C61" s="8" t="s">
        <v>20</v>
      </c>
      <c r="D61" s="9" t="s">
        <v>281</v>
      </c>
      <c r="E61" s="4" t="s">
        <v>428</v>
      </c>
      <c r="F61" s="7">
        <v>1362599.0</v>
      </c>
      <c r="G61" s="4"/>
      <c r="H61" s="4" t="s">
        <v>429</v>
      </c>
      <c r="I61" s="4" t="s">
        <v>430</v>
      </c>
      <c r="J61" s="4" t="s">
        <v>431</v>
      </c>
      <c r="K61" s="4" t="s">
        <v>431</v>
      </c>
      <c r="L61" s="4" t="s">
        <v>431</v>
      </c>
      <c r="M61" s="7">
        <v>2006.0</v>
      </c>
      <c r="N61" s="4" t="s">
        <v>432</v>
      </c>
      <c r="O61" s="4" t="s">
        <v>432</v>
      </c>
      <c r="P61" s="7">
        <v>6021.0</v>
      </c>
      <c r="Q61" s="7">
        <v>6020.0</v>
      </c>
      <c r="R61" s="7">
        <v>9.5</v>
      </c>
      <c r="S61" s="4"/>
      <c r="T61" s="4"/>
      <c r="U61" s="4"/>
      <c r="V61" s="4"/>
      <c r="W61" s="4"/>
      <c r="X61" s="4"/>
      <c r="Y61" s="4"/>
    </row>
    <row r="62">
      <c r="A62" s="4" t="s">
        <v>433</v>
      </c>
      <c r="B62" s="7">
        <v>1734750.0</v>
      </c>
      <c r="C62" s="8" t="s">
        <v>20</v>
      </c>
      <c r="D62" s="9" t="s">
        <v>434</v>
      </c>
      <c r="E62" s="4"/>
      <c r="F62" s="4"/>
      <c r="G62" s="7">
        <v>1734750.0</v>
      </c>
      <c r="H62" s="4" t="s">
        <v>435</v>
      </c>
      <c r="I62" s="4" t="s">
        <v>436</v>
      </c>
      <c r="J62" s="4" t="s">
        <v>437</v>
      </c>
      <c r="K62" s="4"/>
      <c r="L62" s="4" t="s">
        <v>437</v>
      </c>
      <c r="M62" s="7">
        <v>2021.0</v>
      </c>
      <c r="N62" s="4"/>
      <c r="O62" s="4"/>
      <c r="P62" s="7">
        <v>8731.0</v>
      </c>
      <c r="Q62" s="4"/>
      <c r="R62" s="7">
        <v>5.0</v>
      </c>
      <c r="S62" s="4"/>
      <c r="T62" s="4"/>
      <c r="U62" s="4"/>
      <c r="V62" s="4"/>
      <c r="W62" s="4"/>
      <c r="X62" s="4"/>
      <c r="Y62" s="4"/>
    </row>
    <row r="63">
      <c r="A63" s="4" t="s">
        <v>438</v>
      </c>
      <c r="B63" s="7">
        <v>1016572.0</v>
      </c>
      <c r="C63" s="8" t="s">
        <v>20</v>
      </c>
      <c r="D63" s="9" t="s">
        <v>439</v>
      </c>
      <c r="E63" s="4" t="s">
        <v>440</v>
      </c>
      <c r="F63" s="7">
        <v>1016572.0</v>
      </c>
      <c r="G63" s="4"/>
      <c r="H63" s="4" t="s">
        <v>441</v>
      </c>
      <c r="I63" s="4" t="s">
        <v>442</v>
      </c>
      <c r="J63" s="4" t="s">
        <v>443</v>
      </c>
      <c r="K63" s="4" t="s">
        <v>444</v>
      </c>
      <c r="L63" s="4"/>
      <c r="M63" s="7">
        <v>1996.0</v>
      </c>
      <c r="N63" s="4" t="s">
        <v>445</v>
      </c>
      <c r="O63" s="4" t="s">
        <v>445</v>
      </c>
      <c r="P63" s="7">
        <v>7353.0</v>
      </c>
      <c r="Q63" s="7">
        <v>7359.0</v>
      </c>
      <c r="R63" s="7">
        <v>16.0</v>
      </c>
      <c r="S63" s="4"/>
      <c r="T63" s="4"/>
      <c r="U63" s="4"/>
      <c r="V63" s="4"/>
      <c r="W63" s="4"/>
      <c r="X63" s="4"/>
      <c r="Y63" s="4"/>
    </row>
    <row r="64">
      <c r="A64" s="4" t="s">
        <v>446</v>
      </c>
      <c r="B64" s="7">
        <v>919623.0</v>
      </c>
      <c r="C64" s="8" t="s">
        <v>20</v>
      </c>
      <c r="D64" s="9" t="s">
        <v>447</v>
      </c>
      <c r="E64" s="4"/>
      <c r="F64" s="4"/>
      <c r="G64" s="4"/>
      <c r="H64" s="4" t="s">
        <v>448</v>
      </c>
      <c r="I64" s="4" t="s">
        <v>449</v>
      </c>
      <c r="J64" s="4" t="s">
        <v>450</v>
      </c>
      <c r="K64" s="4"/>
      <c r="L64" s="4" t="s">
        <v>450</v>
      </c>
      <c r="M64" s="7">
        <v>1994.0</v>
      </c>
      <c r="N64" s="4"/>
      <c r="O64" s="4"/>
      <c r="P64" s="7">
        <v>8731.0</v>
      </c>
      <c r="Q64" s="4"/>
      <c r="R64" s="7">
        <v>19.5</v>
      </c>
      <c r="S64" s="4"/>
      <c r="T64" s="4"/>
      <c r="U64" s="4"/>
      <c r="V64" s="4"/>
      <c r="W64" s="4"/>
      <c r="X64" s="4"/>
      <c r="Y64" s="4"/>
    </row>
    <row r="65">
      <c r="A65" s="4" t="s">
        <v>451</v>
      </c>
      <c r="B65" s="7">
        <v>1034042.0</v>
      </c>
      <c r="C65" s="8" t="s">
        <v>20</v>
      </c>
      <c r="D65" s="9" t="s">
        <v>452</v>
      </c>
      <c r="E65" s="4" t="s">
        <v>453</v>
      </c>
      <c r="F65" s="7">
        <v>1034042.0</v>
      </c>
      <c r="G65" s="4"/>
      <c r="H65" s="4" t="s">
        <v>454</v>
      </c>
      <c r="I65" s="4" t="s">
        <v>455</v>
      </c>
      <c r="J65" s="4" t="s">
        <v>456</v>
      </c>
      <c r="K65" s="4" t="s">
        <v>456</v>
      </c>
      <c r="L65" s="4" t="s">
        <v>456</v>
      </c>
      <c r="M65" s="7">
        <v>1996.0</v>
      </c>
      <c r="N65" s="4" t="s">
        <v>457</v>
      </c>
      <c r="O65" s="4" t="s">
        <v>457</v>
      </c>
      <c r="P65" s="7">
        <v>8741.0</v>
      </c>
      <c r="Q65" s="7">
        <v>8741.0</v>
      </c>
      <c r="R65" s="7">
        <v>12.0</v>
      </c>
      <c r="S65" s="4"/>
      <c r="T65" s="4"/>
      <c r="U65" s="4"/>
      <c r="V65" s="4"/>
      <c r="W65" s="4"/>
      <c r="X65" s="4"/>
      <c r="Y65" s="4"/>
    </row>
    <row r="66">
      <c r="A66" s="4" t="s">
        <v>458</v>
      </c>
      <c r="B66" s="7">
        <v>1011340.0</v>
      </c>
      <c r="C66" s="8" t="s">
        <v>20</v>
      </c>
      <c r="D66" s="9" t="s">
        <v>459</v>
      </c>
      <c r="E66" s="4" t="s">
        <v>460</v>
      </c>
      <c r="F66" s="7">
        <v>1011340.0</v>
      </c>
      <c r="G66" s="4"/>
      <c r="H66" s="4" t="s">
        <v>461</v>
      </c>
      <c r="I66" s="4" t="s">
        <v>462</v>
      </c>
      <c r="J66" s="4"/>
      <c r="K66" s="4" t="s">
        <v>463</v>
      </c>
      <c r="L66" s="4"/>
      <c r="M66" s="7">
        <v>1996.0</v>
      </c>
      <c r="N66" s="4" t="s">
        <v>464</v>
      </c>
      <c r="O66" s="4" t="s">
        <v>464</v>
      </c>
      <c r="P66" s="7">
        <v>7372.0</v>
      </c>
      <c r="Q66" s="7">
        <v>7373.0</v>
      </c>
      <c r="R66" s="7">
        <v>16.0</v>
      </c>
      <c r="S66" s="4"/>
      <c r="T66" s="4"/>
      <c r="U66" s="4"/>
      <c r="V66" s="4"/>
      <c r="W66" s="4"/>
      <c r="X66" s="4"/>
      <c r="Y66" s="4"/>
    </row>
    <row r="67">
      <c r="A67" s="4" t="s">
        <v>465</v>
      </c>
      <c r="B67" s="7">
        <v>1301031.0</v>
      </c>
      <c r="C67" s="8" t="s">
        <v>20</v>
      </c>
      <c r="D67" s="9" t="s">
        <v>466</v>
      </c>
      <c r="E67" s="4" t="s">
        <v>467</v>
      </c>
      <c r="F67" s="7">
        <v>1301031.0</v>
      </c>
      <c r="G67" s="4"/>
      <c r="H67" s="4" t="s">
        <v>468</v>
      </c>
      <c r="I67" s="4" t="s">
        <v>469</v>
      </c>
      <c r="J67" s="4" t="s">
        <v>470</v>
      </c>
      <c r="K67" s="4" t="s">
        <v>470</v>
      </c>
      <c r="L67" s="4" t="s">
        <v>470</v>
      </c>
      <c r="M67" s="7">
        <v>2012.0</v>
      </c>
      <c r="N67" s="4" t="s">
        <v>471</v>
      </c>
      <c r="O67" s="4" t="s">
        <v>471</v>
      </c>
      <c r="P67" s="7">
        <v>7372.0</v>
      </c>
      <c r="Q67" s="7">
        <v>7370.0</v>
      </c>
      <c r="R67" s="7">
        <v>16.0</v>
      </c>
      <c r="S67" s="4"/>
      <c r="T67" s="4"/>
      <c r="U67" s="4"/>
      <c r="V67" s="4"/>
      <c r="W67" s="4"/>
      <c r="X67" s="4"/>
      <c r="Y67" s="4"/>
    </row>
    <row r="68">
      <c r="A68" s="4" t="s">
        <v>472</v>
      </c>
      <c r="B68" s="7">
        <v>1076641.0</v>
      </c>
      <c r="C68" s="8" t="s">
        <v>20</v>
      </c>
      <c r="D68" s="9" t="s">
        <v>473</v>
      </c>
      <c r="E68" s="4" t="s">
        <v>474</v>
      </c>
      <c r="F68" s="7">
        <v>1076641.0</v>
      </c>
      <c r="G68" s="4"/>
      <c r="H68" s="4" t="s">
        <v>475</v>
      </c>
      <c r="I68" s="4" t="s">
        <v>476</v>
      </c>
      <c r="J68" s="4" t="s">
        <v>477</v>
      </c>
      <c r="K68" s="4" t="s">
        <v>477</v>
      </c>
      <c r="L68" s="4" t="s">
        <v>477</v>
      </c>
      <c r="M68" s="7">
        <v>2000.0</v>
      </c>
      <c r="N68" s="4" t="s">
        <v>478</v>
      </c>
      <c r="O68" s="4" t="s">
        <v>478</v>
      </c>
      <c r="P68" s="7">
        <v>7372.0</v>
      </c>
      <c r="Q68" s="7">
        <v>7372.0</v>
      </c>
      <c r="R68" s="7">
        <v>24.0</v>
      </c>
      <c r="S68" s="4"/>
      <c r="T68" s="4"/>
      <c r="U68" s="4"/>
      <c r="V68" s="4"/>
      <c r="W68" s="4"/>
      <c r="X68" s="4"/>
      <c r="Y68" s="4"/>
    </row>
    <row r="69">
      <c r="A69" s="4" t="s">
        <v>479</v>
      </c>
      <c r="B69" s="7">
        <v>926849.0</v>
      </c>
      <c r="C69" s="8" t="s">
        <v>20</v>
      </c>
      <c r="D69" s="9" t="s">
        <v>480</v>
      </c>
      <c r="E69" s="4" t="s">
        <v>481</v>
      </c>
      <c r="F69" s="7">
        <v>926849.0</v>
      </c>
      <c r="G69" s="7">
        <v>1999297.0</v>
      </c>
      <c r="H69" s="4" t="s">
        <v>482</v>
      </c>
      <c r="I69" s="4" t="s">
        <v>483</v>
      </c>
      <c r="J69" s="4" t="s">
        <v>484</v>
      </c>
      <c r="K69" s="4" t="s">
        <v>485</v>
      </c>
      <c r="L69" s="4" t="s">
        <v>484</v>
      </c>
      <c r="M69" s="7">
        <v>1994.0</v>
      </c>
      <c r="N69" s="4" t="s">
        <v>486</v>
      </c>
      <c r="O69" s="4" t="s">
        <v>486</v>
      </c>
      <c r="P69" s="7">
        <v>7373.0</v>
      </c>
      <c r="Q69" s="7">
        <v>7373.0</v>
      </c>
      <c r="R69" s="7">
        <v>5.0</v>
      </c>
      <c r="S69" s="4"/>
      <c r="T69" s="4"/>
      <c r="U69" s="4"/>
      <c r="V69" s="4"/>
      <c r="W69" s="4"/>
      <c r="X69" s="4"/>
      <c r="Y69" s="4"/>
    </row>
    <row r="70">
      <c r="A70" s="4" t="s">
        <v>487</v>
      </c>
      <c r="B70" s="7">
        <v>913202.0</v>
      </c>
      <c r="C70" s="8" t="s">
        <v>20</v>
      </c>
      <c r="D70" s="9" t="s">
        <v>488</v>
      </c>
      <c r="E70" s="4" t="s">
        <v>489</v>
      </c>
      <c r="F70" s="7">
        <v>913202.0</v>
      </c>
      <c r="G70" s="4"/>
      <c r="H70" s="4" t="s">
        <v>490</v>
      </c>
      <c r="I70" s="4" t="s">
        <v>491</v>
      </c>
      <c r="J70" s="4" t="s">
        <v>492</v>
      </c>
      <c r="K70" s="4" t="s">
        <v>492</v>
      </c>
      <c r="L70" s="4" t="s">
        <v>493</v>
      </c>
      <c r="M70" s="7">
        <v>1994.0</v>
      </c>
      <c r="N70" s="4" t="s">
        <v>494</v>
      </c>
      <c r="O70" s="4" t="s">
        <v>494</v>
      </c>
      <c r="P70" s="7">
        <v>6311.0</v>
      </c>
      <c r="Q70" s="7">
        <v>6311.0</v>
      </c>
      <c r="R70" s="7">
        <v>12.0</v>
      </c>
      <c r="S70" s="4"/>
      <c r="T70" s="4"/>
      <c r="U70" s="4"/>
      <c r="V70" s="4"/>
      <c r="W70" s="4"/>
      <c r="X70" s="4"/>
      <c r="Y70" s="4"/>
    </row>
    <row r="71">
      <c r="A71" s="4" t="s">
        <v>495</v>
      </c>
      <c r="B71" s="7">
        <v>1080359.0</v>
      </c>
      <c r="C71" s="8" t="s">
        <v>20</v>
      </c>
      <c r="D71" s="9" t="s">
        <v>496</v>
      </c>
      <c r="E71" s="4"/>
      <c r="F71" s="4"/>
      <c r="G71" s="4"/>
      <c r="H71" s="4" t="s">
        <v>497</v>
      </c>
      <c r="I71" s="4" t="s">
        <v>498</v>
      </c>
      <c r="J71" s="4" t="s">
        <v>499</v>
      </c>
      <c r="K71" s="4"/>
      <c r="L71" s="4" t="s">
        <v>499</v>
      </c>
      <c r="M71" s="7">
        <v>1999.0</v>
      </c>
      <c r="N71" s="4"/>
      <c r="O71" s="4"/>
      <c r="P71" s="7">
        <v>7375.0</v>
      </c>
      <c r="Q71" s="4"/>
      <c r="R71" s="7">
        <v>15.0</v>
      </c>
      <c r="S71" s="4"/>
      <c r="T71" s="4"/>
      <c r="U71" s="4"/>
      <c r="V71" s="4"/>
      <c r="W71" s="4"/>
      <c r="X71" s="4"/>
      <c r="Y71" s="4"/>
    </row>
    <row r="72">
      <c r="A72" s="4" t="s">
        <v>500</v>
      </c>
      <c r="B72" s="7">
        <v>1008896.0</v>
      </c>
      <c r="C72" s="8" t="s">
        <v>20</v>
      </c>
      <c r="D72" s="9" t="s">
        <v>501</v>
      </c>
      <c r="E72" s="4" t="s">
        <v>502</v>
      </c>
      <c r="F72" s="7">
        <v>1008896.0</v>
      </c>
      <c r="G72" s="4"/>
      <c r="H72" s="4" t="s">
        <v>503</v>
      </c>
      <c r="I72" s="4" t="s">
        <v>504</v>
      </c>
      <c r="J72" s="4" t="s">
        <v>505</v>
      </c>
      <c r="K72" s="4" t="s">
        <v>505</v>
      </c>
      <c r="L72" s="4" t="s">
        <v>505</v>
      </c>
      <c r="M72" s="7">
        <v>1996.0</v>
      </c>
      <c r="N72" s="4" t="s">
        <v>506</v>
      </c>
      <c r="O72" s="4" t="s">
        <v>506</v>
      </c>
      <c r="P72" s="7">
        <v>7363.0</v>
      </c>
      <c r="Q72" s="7">
        <v>8741.0</v>
      </c>
      <c r="R72" s="7">
        <v>15.0</v>
      </c>
      <c r="S72" s="4"/>
      <c r="T72" s="4"/>
      <c r="U72" s="4"/>
      <c r="V72" s="4"/>
      <c r="W72" s="4"/>
      <c r="X72" s="4"/>
      <c r="Y72" s="4"/>
    </row>
    <row r="73">
      <c r="A73" s="4" t="s">
        <v>507</v>
      </c>
      <c r="B73" s="7">
        <v>1733257.0</v>
      </c>
      <c r="C73" s="8" t="s">
        <v>20</v>
      </c>
      <c r="D73" s="9" t="s">
        <v>508</v>
      </c>
      <c r="E73" s="4" t="s">
        <v>509</v>
      </c>
      <c r="F73" s="7">
        <v>1733257.0</v>
      </c>
      <c r="G73" s="7">
        <v>1733257.0</v>
      </c>
      <c r="H73" s="4" t="s">
        <v>510</v>
      </c>
      <c r="I73" s="4" t="s">
        <v>511</v>
      </c>
      <c r="J73" s="4" t="s">
        <v>512</v>
      </c>
      <c r="K73" s="4" t="s">
        <v>512</v>
      </c>
      <c r="L73" s="4" t="s">
        <v>512</v>
      </c>
      <c r="M73" s="7">
        <v>2021.0</v>
      </c>
      <c r="N73" s="4" t="s">
        <v>513</v>
      </c>
      <c r="O73" s="4" t="s">
        <v>513</v>
      </c>
      <c r="P73" s="7">
        <v>8731.0</v>
      </c>
      <c r="Q73" s="7">
        <v>2836.0</v>
      </c>
      <c r="R73" s="7">
        <v>17.0</v>
      </c>
      <c r="S73" s="4"/>
      <c r="T73" s="4"/>
      <c r="U73" s="4"/>
      <c r="V73" s="4"/>
      <c r="W73" s="4"/>
      <c r="X73" s="4"/>
      <c r="Y73" s="4"/>
    </row>
    <row r="74">
      <c r="A74" s="4" t="s">
        <v>514</v>
      </c>
      <c r="B74" s="7">
        <v>1643988.0</v>
      </c>
      <c r="C74" s="8" t="s">
        <v>20</v>
      </c>
      <c r="D74" s="9" t="s">
        <v>515</v>
      </c>
      <c r="E74" s="4" t="s">
        <v>516</v>
      </c>
      <c r="F74" s="7">
        <v>1643988.0</v>
      </c>
      <c r="G74" s="4"/>
      <c r="H74" s="4" t="s">
        <v>517</v>
      </c>
      <c r="I74" s="4" t="s">
        <v>518</v>
      </c>
      <c r="J74" s="4" t="s">
        <v>519</v>
      </c>
      <c r="K74" s="4" t="s">
        <v>520</v>
      </c>
      <c r="L74" s="4" t="s">
        <v>519</v>
      </c>
      <c r="M74" s="7">
        <v>2022.0</v>
      </c>
      <c r="N74" s="4"/>
      <c r="O74" s="4"/>
      <c r="P74" s="7">
        <v>7312.0</v>
      </c>
      <c r="Q74" s="7">
        <v>7830.0</v>
      </c>
      <c r="R74" s="7">
        <v>5.0</v>
      </c>
      <c r="S74" s="4"/>
      <c r="T74" s="4"/>
      <c r="U74" s="4"/>
      <c r="V74" s="4"/>
      <c r="W74" s="4"/>
      <c r="X74" s="4"/>
      <c r="Y74" s="4"/>
    </row>
    <row r="75">
      <c r="A75" s="4" t="s">
        <v>521</v>
      </c>
      <c r="B75" s="7">
        <v>1630856.0</v>
      </c>
      <c r="C75" s="8" t="s">
        <v>20</v>
      </c>
      <c r="D75" s="9" t="s">
        <v>281</v>
      </c>
      <c r="E75" s="4" t="s">
        <v>522</v>
      </c>
      <c r="F75" s="7">
        <v>1630856.0</v>
      </c>
      <c r="G75" s="4"/>
      <c r="H75" s="4" t="s">
        <v>523</v>
      </c>
      <c r="I75" s="4" t="s">
        <v>524</v>
      </c>
      <c r="J75" s="4" t="s">
        <v>525</v>
      </c>
      <c r="K75" s="4" t="s">
        <v>525</v>
      </c>
      <c r="L75" s="4" t="s">
        <v>525</v>
      </c>
      <c r="M75" s="7">
        <v>2020.0</v>
      </c>
      <c r="N75" s="4"/>
      <c r="O75" s="4"/>
      <c r="P75" s="7">
        <v>6021.0</v>
      </c>
      <c r="Q75" s="7">
        <v>6020.0</v>
      </c>
      <c r="R75" s="7">
        <v>18.5</v>
      </c>
      <c r="S75" s="4"/>
      <c r="T75" s="4"/>
      <c r="U75" s="4"/>
      <c r="V75" s="4"/>
      <c r="W75" s="4"/>
      <c r="X75" s="4"/>
      <c r="Y75" s="4"/>
    </row>
    <row r="76">
      <c r="A76" s="4" t="s">
        <v>526</v>
      </c>
      <c r="B76" s="7">
        <v>870345.0</v>
      </c>
      <c r="C76" s="8" t="s">
        <v>20</v>
      </c>
      <c r="D76" s="9" t="s">
        <v>527</v>
      </c>
      <c r="E76" s="4" t="s">
        <v>528</v>
      </c>
      <c r="F76" s="7">
        <v>870345.0</v>
      </c>
      <c r="G76" s="4"/>
      <c r="H76" s="4" t="s">
        <v>529</v>
      </c>
      <c r="I76" s="4" t="s">
        <v>530</v>
      </c>
      <c r="J76" s="4" t="s">
        <v>531</v>
      </c>
      <c r="K76" s="4" t="s">
        <v>532</v>
      </c>
      <c r="L76" s="4" t="s">
        <v>531</v>
      </c>
      <c r="M76" s="7">
        <v>1997.0</v>
      </c>
      <c r="N76" s="4" t="s">
        <v>533</v>
      </c>
      <c r="O76" s="4" t="s">
        <v>533</v>
      </c>
      <c r="P76" s="7">
        <v>7372.0</v>
      </c>
      <c r="Q76" s="7">
        <v>7372.0</v>
      </c>
      <c r="R76" s="7">
        <v>8.0</v>
      </c>
      <c r="S76" s="4"/>
      <c r="T76" s="4"/>
      <c r="U76" s="4"/>
      <c r="V76" s="4"/>
      <c r="W76" s="4"/>
      <c r="X76" s="4"/>
      <c r="Y76" s="4"/>
    </row>
    <row r="77">
      <c r="A77" s="4" t="s">
        <v>534</v>
      </c>
      <c r="B77" s="7">
        <v>1585064.0</v>
      </c>
      <c r="C77" s="8" t="s">
        <v>20</v>
      </c>
      <c r="D77" s="9" t="s">
        <v>535</v>
      </c>
      <c r="E77" s="4" t="s">
        <v>536</v>
      </c>
      <c r="F77" s="7">
        <v>1585064.0</v>
      </c>
      <c r="G77" s="7">
        <v>1989930.0</v>
      </c>
      <c r="H77" s="4" t="s">
        <v>537</v>
      </c>
      <c r="I77" s="4" t="s">
        <v>538</v>
      </c>
      <c r="J77" s="4" t="s">
        <v>539</v>
      </c>
      <c r="K77" s="4" t="s">
        <v>540</v>
      </c>
      <c r="L77" s="4"/>
      <c r="M77" s="7">
        <v>2013.0</v>
      </c>
      <c r="N77" s="4"/>
      <c r="O77" s="4"/>
      <c r="P77" s="7">
        <v>6311.0</v>
      </c>
      <c r="Q77" s="7">
        <v>6311.0</v>
      </c>
      <c r="R77" s="7">
        <v>17.0</v>
      </c>
      <c r="S77" s="4"/>
      <c r="T77" s="4"/>
      <c r="U77" s="4"/>
      <c r="V77" s="4"/>
      <c r="W77" s="4"/>
      <c r="X77" s="4"/>
      <c r="Y77" s="4"/>
    </row>
    <row r="78">
      <c r="A78" s="4" t="s">
        <v>541</v>
      </c>
      <c r="B78" s="7">
        <v>1051118.0</v>
      </c>
      <c r="C78" s="8" t="s">
        <v>20</v>
      </c>
      <c r="D78" s="9" t="s">
        <v>542</v>
      </c>
      <c r="E78" s="4" t="s">
        <v>543</v>
      </c>
      <c r="F78" s="7">
        <v>1051118.0</v>
      </c>
      <c r="G78" s="4"/>
      <c r="H78" s="4" t="s">
        <v>544</v>
      </c>
      <c r="I78" s="4" t="s">
        <v>545</v>
      </c>
      <c r="J78" s="4" t="s">
        <v>546</v>
      </c>
      <c r="K78" s="4" t="s">
        <v>546</v>
      </c>
      <c r="L78" s="4" t="s">
        <v>546</v>
      </c>
      <c r="M78" s="7">
        <v>1999.0</v>
      </c>
      <c r="N78" s="4" t="s">
        <v>547</v>
      </c>
      <c r="O78" s="4" t="s">
        <v>547</v>
      </c>
      <c r="P78" s="7">
        <v>7374.0</v>
      </c>
      <c r="Q78" s="7">
        <v>7372.0</v>
      </c>
      <c r="R78" s="7">
        <v>17.0</v>
      </c>
      <c r="S78" s="4"/>
      <c r="T78" s="4"/>
      <c r="U78" s="4"/>
      <c r="V78" s="4"/>
      <c r="W78" s="4"/>
      <c r="X78" s="4"/>
      <c r="Y78" s="4"/>
    </row>
    <row r="79">
      <c r="A79" s="4" t="s">
        <v>548</v>
      </c>
      <c r="B79" s="7">
        <v>1024657.0</v>
      </c>
      <c r="C79" s="8" t="s">
        <v>20</v>
      </c>
      <c r="D79" s="9" t="s">
        <v>549</v>
      </c>
      <c r="E79" s="4"/>
      <c r="F79" s="4"/>
      <c r="G79" s="4"/>
      <c r="H79" s="4" t="s">
        <v>550</v>
      </c>
      <c r="I79" s="4" t="s">
        <v>551</v>
      </c>
      <c r="J79" s="4" t="s">
        <v>552</v>
      </c>
      <c r="K79" s="4"/>
      <c r="L79" s="4"/>
      <c r="M79" s="7">
        <v>2013.0</v>
      </c>
      <c r="N79" s="4"/>
      <c r="O79" s="4"/>
      <c r="P79" s="7">
        <v>7389.0</v>
      </c>
      <c r="Q79" s="4"/>
      <c r="R79" s="7">
        <v>20.0</v>
      </c>
      <c r="S79" s="4"/>
      <c r="T79" s="4"/>
      <c r="U79" s="4"/>
      <c r="V79" s="4"/>
      <c r="W79" s="4"/>
      <c r="X79" s="4"/>
      <c r="Y79" s="4"/>
    </row>
    <row r="80">
      <c r="A80" s="4" t="s">
        <v>553</v>
      </c>
      <c r="B80" s="7">
        <v>1241199.0</v>
      </c>
      <c r="C80" s="8" t="s">
        <v>20</v>
      </c>
      <c r="D80" s="9" t="s">
        <v>554</v>
      </c>
      <c r="E80" s="4" t="s">
        <v>555</v>
      </c>
      <c r="F80" s="7">
        <v>1241199.0</v>
      </c>
      <c r="G80" s="4"/>
      <c r="H80" s="4" t="s">
        <v>556</v>
      </c>
      <c r="I80" s="4" t="s">
        <v>557</v>
      </c>
      <c r="J80" s="4" t="s">
        <v>558</v>
      </c>
      <c r="K80" s="4" t="s">
        <v>558</v>
      </c>
      <c r="L80" s="4" t="s">
        <v>558</v>
      </c>
      <c r="M80" s="7">
        <v>2003.0</v>
      </c>
      <c r="N80" s="4"/>
      <c r="O80" s="4"/>
      <c r="P80" s="7">
        <v>6159.0</v>
      </c>
      <c r="Q80" s="7">
        <v>6159.0</v>
      </c>
      <c r="R80" s="7">
        <v>14.5</v>
      </c>
      <c r="S80" s="4"/>
      <c r="T80" s="4"/>
      <c r="U80" s="4"/>
      <c r="V80" s="4"/>
      <c r="W80" s="4"/>
      <c r="X80" s="4"/>
      <c r="Y80" s="4"/>
    </row>
    <row r="81">
      <c r="A81" s="4" t="s">
        <v>559</v>
      </c>
      <c r="B81" s="7">
        <v>1016139.0</v>
      </c>
      <c r="C81" s="8" t="s">
        <v>20</v>
      </c>
      <c r="D81" s="9" t="s">
        <v>560</v>
      </c>
      <c r="E81" s="4"/>
      <c r="F81" s="4"/>
      <c r="G81" s="7">
        <v>1860657.0</v>
      </c>
      <c r="H81" s="4" t="s">
        <v>561</v>
      </c>
      <c r="I81" s="4" t="s">
        <v>562</v>
      </c>
      <c r="J81" s="4" t="s">
        <v>563</v>
      </c>
      <c r="K81" s="4"/>
      <c r="L81" s="4" t="s">
        <v>563</v>
      </c>
      <c r="M81" s="7">
        <v>1999.0</v>
      </c>
      <c r="N81" s="4"/>
      <c r="O81" s="4"/>
      <c r="P81" s="7">
        <v>7372.0</v>
      </c>
      <c r="Q81" s="4"/>
      <c r="R81" s="7">
        <v>20.0</v>
      </c>
      <c r="S81" s="4"/>
      <c r="T81" s="4"/>
      <c r="U81" s="4"/>
      <c r="V81" s="4"/>
      <c r="W81" s="4"/>
      <c r="X81" s="4"/>
      <c r="Y81" s="4"/>
    </row>
    <row r="82">
      <c r="A82" s="4" t="s">
        <v>564</v>
      </c>
      <c r="B82" s="7">
        <v>1085223.0</v>
      </c>
      <c r="C82" s="8" t="s">
        <v>20</v>
      </c>
      <c r="D82" s="9" t="s">
        <v>565</v>
      </c>
      <c r="E82" s="4" t="s">
        <v>566</v>
      </c>
      <c r="F82" s="7">
        <v>1085223.0</v>
      </c>
      <c r="G82" s="4"/>
      <c r="H82" s="4" t="s">
        <v>567</v>
      </c>
      <c r="I82" s="4" t="s">
        <v>568</v>
      </c>
      <c r="J82" s="4" t="s">
        <v>569</v>
      </c>
      <c r="K82" s="4" t="s">
        <v>569</v>
      </c>
      <c r="L82" s="4" t="s">
        <v>570</v>
      </c>
      <c r="M82" s="7">
        <v>2000.0</v>
      </c>
      <c r="N82" s="4" t="s">
        <v>571</v>
      </c>
      <c r="O82" s="4" t="s">
        <v>571</v>
      </c>
      <c r="P82" s="7">
        <v>7389.0</v>
      </c>
      <c r="Q82" s="7">
        <v>7310.0</v>
      </c>
      <c r="R82" s="7">
        <v>15.0</v>
      </c>
      <c r="S82" s="4"/>
      <c r="T82" s="4"/>
      <c r="U82" s="4"/>
      <c r="V82" s="4"/>
      <c r="W82" s="4"/>
      <c r="X82" s="4"/>
      <c r="Y82" s="4"/>
    </row>
    <row r="83">
      <c r="A83" s="4" t="s">
        <v>572</v>
      </c>
      <c r="B83" s="7">
        <v>1017174.0</v>
      </c>
      <c r="C83" s="8" t="s">
        <v>20</v>
      </c>
      <c r="D83" s="9" t="s">
        <v>573</v>
      </c>
      <c r="E83" s="4" t="s">
        <v>574</v>
      </c>
      <c r="F83" s="7">
        <v>1017174.0</v>
      </c>
      <c r="G83" s="7">
        <v>1802450.0</v>
      </c>
      <c r="H83" s="4" t="s">
        <v>575</v>
      </c>
      <c r="I83" s="4" t="s">
        <v>576</v>
      </c>
      <c r="J83" s="4" t="s">
        <v>577</v>
      </c>
      <c r="K83" s="4" t="s">
        <v>578</v>
      </c>
      <c r="L83" s="4" t="s">
        <v>577</v>
      </c>
      <c r="M83" s="7">
        <v>2000.0</v>
      </c>
      <c r="N83" s="4" t="s">
        <v>579</v>
      </c>
      <c r="O83" s="4" t="s">
        <v>579</v>
      </c>
      <c r="P83" s="7">
        <v>7389.0</v>
      </c>
      <c r="Q83" s="7">
        <v>7370.0</v>
      </c>
      <c r="R83" s="7">
        <v>12.0</v>
      </c>
      <c r="S83" s="4"/>
      <c r="T83" s="4"/>
      <c r="U83" s="4"/>
      <c r="V83" s="4"/>
      <c r="W83" s="4"/>
      <c r="X83" s="4"/>
      <c r="Y83" s="4"/>
    </row>
    <row r="84">
      <c r="A84" s="4" t="s">
        <v>580</v>
      </c>
      <c r="B84" s="7">
        <v>1856365.0</v>
      </c>
      <c r="C84" s="8" t="s">
        <v>20</v>
      </c>
      <c r="D84" s="9" t="s">
        <v>581</v>
      </c>
      <c r="E84" s="4" t="s">
        <v>582</v>
      </c>
      <c r="F84" s="7">
        <v>1856365.0</v>
      </c>
      <c r="G84" s="7">
        <v>1856365.0</v>
      </c>
      <c r="H84" s="4" t="s">
        <v>583</v>
      </c>
      <c r="I84" s="4" t="s">
        <v>584</v>
      </c>
      <c r="J84" s="4" t="s">
        <v>585</v>
      </c>
      <c r="K84" s="4" t="s">
        <v>585</v>
      </c>
      <c r="L84" s="4" t="s">
        <v>585</v>
      </c>
      <c r="M84" s="7">
        <v>2021.0</v>
      </c>
      <c r="N84" s="4" t="s">
        <v>586</v>
      </c>
      <c r="O84" s="4" t="s">
        <v>586</v>
      </c>
      <c r="P84" s="7">
        <v>6021.0</v>
      </c>
      <c r="Q84" s="7">
        <v>6020.0</v>
      </c>
      <c r="R84" s="7">
        <v>10.5</v>
      </c>
      <c r="S84" s="4"/>
      <c r="T84" s="4"/>
      <c r="U84" s="4"/>
      <c r="V84" s="4"/>
      <c r="W84" s="4"/>
      <c r="X84" s="4"/>
      <c r="Y84" s="4"/>
    </row>
    <row r="85">
      <c r="A85" s="4" t="s">
        <v>587</v>
      </c>
      <c r="B85" s="7">
        <v>1368582.0</v>
      </c>
      <c r="C85" s="8" t="s">
        <v>20</v>
      </c>
      <c r="D85" s="9" t="s">
        <v>588</v>
      </c>
      <c r="E85" s="4"/>
      <c r="F85" s="4"/>
      <c r="G85" s="4"/>
      <c r="H85" s="4" t="s">
        <v>589</v>
      </c>
      <c r="I85" s="4" t="s">
        <v>590</v>
      </c>
      <c r="J85" s="4" t="s">
        <v>591</v>
      </c>
      <c r="K85" s="4"/>
      <c r="L85" s="4" t="s">
        <v>591</v>
      </c>
      <c r="M85" s="7">
        <v>2008.0</v>
      </c>
      <c r="N85" s="4"/>
      <c r="O85" s="4"/>
      <c r="P85" s="7">
        <v>7372.0</v>
      </c>
      <c r="Q85" s="4"/>
      <c r="R85" s="7">
        <v>9.0</v>
      </c>
      <c r="S85" s="4"/>
      <c r="T85" s="4"/>
      <c r="U85" s="4"/>
      <c r="V85" s="4"/>
      <c r="W85" s="4"/>
      <c r="X85" s="4"/>
      <c r="Y85" s="4"/>
    </row>
    <row r="86">
      <c r="A86" s="4" t="s">
        <v>592</v>
      </c>
      <c r="B86" s="7">
        <v>1065728.0</v>
      </c>
      <c r="C86" s="8" t="s">
        <v>20</v>
      </c>
      <c r="D86" s="9" t="s">
        <v>593</v>
      </c>
      <c r="E86" s="4"/>
      <c r="F86" s="4"/>
      <c r="G86" s="4"/>
      <c r="H86" s="4" t="s">
        <v>594</v>
      </c>
      <c r="I86" s="4" t="s">
        <v>595</v>
      </c>
      <c r="J86" s="4" t="s">
        <v>596</v>
      </c>
      <c r="K86" s="4"/>
      <c r="L86" s="4" t="s">
        <v>596</v>
      </c>
      <c r="M86" s="7">
        <v>1999.0</v>
      </c>
      <c r="N86" s="4"/>
      <c r="O86" s="4"/>
      <c r="P86" s="7">
        <v>6799.0</v>
      </c>
      <c r="Q86" s="4"/>
      <c r="R86" s="7">
        <v>7.0</v>
      </c>
      <c r="S86" s="4"/>
      <c r="T86" s="4"/>
      <c r="U86" s="4"/>
      <c r="V86" s="4"/>
      <c r="W86" s="4"/>
      <c r="X86" s="4"/>
      <c r="Y86" s="4"/>
    </row>
    <row r="87">
      <c r="A87" s="4" t="s">
        <v>597</v>
      </c>
      <c r="B87" s="7">
        <v>1173752.0</v>
      </c>
      <c r="C87" s="8" t="s">
        <v>20</v>
      </c>
      <c r="D87" s="9" t="s">
        <v>598</v>
      </c>
      <c r="E87" s="4"/>
      <c r="F87" s="4"/>
      <c r="G87" s="4"/>
      <c r="H87" s="4" t="s">
        <v>599</v>
      </c>
      <c r="I87" s="4" t="s">
        <v>600</v>
      </c>
      <c r="J87" s="4" t="s">
        <v>601</v>
      </c>
      <c r="K87" s="4"/>
      <c r="L87" s="4" t="s">
        <v>601</v>
      </c>
      <c r="M87" s="7">
        <v>2007.0</v>
      </c>
      <c r="N87" s="4"/>
      <c r="O87" s="4"/>
      <c r="P87" s="7">
        <v>7372.0</v>
      </c>
      <c r="Q87" s="4"/>
      <c r="R87" s="7">
        <v>11.0</v>
      </c>
      <c r="S87" s="4"/>
      <c r="T87" s="4"/>
      <c r="U87" s="4"/>
      <c r="V87" s="4"/>
      <c r="W87" s="4"/>
      <c r="X87" s="4"/>
      <c r="Y87" s="4"/>
    </row>
    <row r="88">
      <c r="A88" s="4" t="s">
        <v>602</v>
      </c>
      <c r="B88" s="7">
        <v>1671818.0</v>
      </c>
      <c r="C88" s="8" t="s">
        <v>20</v>
      </c>
      <c r="D88" s="9" t="s">
        <v>603</v>
      </c>
      <c r="E88" s="4" t="s">
        <v>604</v>
      </c>
      <c r="F88" s="7">
        <v>1671818.0</v>
      </c>
      <c r="G88" s="4"/>
      <c r="H88" s="4" t="s">
        <v>605</v>
      </c>
      <c r="I88" s="4" t="s">
        <v>606</v>
      </c>
      <c r="J88" s="4" t="s">
        <v>607</v>
      </c>
      <c r="K88" s="4" t="s">
        <v>607</v>
      </c>
      <c r="L88" s="4" t="s">
        <v>607</v>
      </c>
      <c r="M88" s="7">
        <v>2020.0</v>
      </c>
      <c r="N88" s="4" t="s">
        <v>608</v>
      </c>
      <c r="O88" s="4" t="s">
        <v>608</v>
      </c>
      <c r="P88" s="7">
        <v>8731.0</v>
      </c>
      <c r="Q88" s="7">
        <v>2836.0</v>
      </c>
      <c r="R88" s="7">
        <v>15.0</v>
      </c>
      <c r="S88" s="4"/>
      <c r="T88" s="4"/>
      <c r="U88" s="4"/>
      <c r="V88" s="4"/>
      <c r="W88" s="4"/>
      <c r="X88" s="4"/>
      <c r="Y88" s="4"/>
    </row>
    <row r="89">
      <c r="A89" s="4" t="s">
        <v>609</v>
      </c>
      <c r="B89" s="7">
        <v>1027287.0</v>
      </c>
      <c r="C89" s="8" t="s">
        <v>20</v>
      </c>
      <c r="D89" s="9" t="s">
        <v>610</v>
      </c>
      <c r="E89" s="4" t="s">
        <v>611</v>
      </c>
      <c r="F89" s="7">
        <v>1027287.0</v>
      </c>
      <c r="G89" s="4"/>
      <c r="H89" s="4" t="s">
        <v>612</v>
      </c>
      <c r="I89" s="4" t="s">
        <v>613</v>
      </c>
      <c r="J89" s="4" t="s">
        <v>614</v>
      </c>
      <c r="K89" s="4" t="s">
        <v>614</v>
      </c>
      <c r="L89" s="4" t="s">
        <v>614</v>
      </c>
      <c r="M89" s="7">
        <v>1997.0</v>
      </c>
      <c r="N89" s="4" t="s">
        <v>615</v>
      </c>
      <c r="O89" s="4" t="s">
        <v>615</v>
      </c>
      <c r="P89" s="7">
        <v>8741.0</v>
      </c>
      <c r="Q89" s="7">
        <v>6411.0</v>
      </c>
      <c r="R89" s="7">
        <v>11.0</v>
      </c>
      <c r="S89" s="4"/>
      <c r="T89" s="4"/>
      <c r="U89" s="4"/>
      <c r="V89" s="4"/>
      <c r="W89" s="4"/>
      <c r="X89" s="4"/>
      <c r="Y89" s="4"/>
    </row>
    <row r="90">
      <c r="A90" s="4" t="s">
        <v>616</v>
      </c>
      <c r="B90" s="7">
        <v>1066194.0</v>
      </c>
      <c r="C90" s="8" t="s">
        <v>20</v>
      </c>
      <c r="D90" s="9" t="s">
        <v>617</v>
      </c>
      <c r="E90" s="4" t="s">
        <v>618</v>
      </c>
      <c r="F90" s="7">
        <v>1066194.0</v>
      </c>
      <c r="G90" s="7">
        <v>1066194.0</v>
      </c>
      <c r="H90" s="4" t="s">
        <v>619</v>
      </c>
      <c r="I90" s="4" t="s">
        <v>620</v>
      </c>
      <c r="J90" s="4" t="s">
        <v>621</v>
      </c>
      <c r="K90" s="4" t="s">
        <v>621</v>
      </c>
      <c r="L90" s="4" t="s">
        <v>621</v>
      </c>
      <c r="M90" s="7">
        <v>1999.0</v>
      </c>
      <c r="N90" s="4" t="s">
        <v>389</v>
      </c>
      <c r="O90" s="4" t="s">
        <v>389</v>
      </c>
      <c r="P90" s="7">
        <v>7372.0</v>
      </c>
      <c r="Q90" s="7">
        <v>7372.0</v>
      </c>
      <c r="R90" s="7">
        <v>12.0</v>
      </c>
      <c r="S90" s="4"/>
      <c r="T90" s="4"/>
      <c r="U90" s="4"/>
      <c r="V90" s="4"/>
      <c r="W90" s="4"/>
      <c r="X90" s="4"/>
      <c r="Y90" s="4"/>
    </row>
    <row r="91">
      <c r="A91" s="4" t="s">
        <v>622</v>
      </c>
      <c r="B91" s="7">
        <v>1853145.0</v>
      </c>
      <c r="C91" s="8" t="s">
        <v>20</v>
      </c>
      <c r="D91" s="9" t="s">
        <v>623</v>
      </c>
      <c r="E91" s="4" t="s">
        <v>624</v>
      </c>
      <c r="F91" s="7">
        <v>1853145.0</v>
      </c>
      <c r="G91" s="7">
        <v>1853145.0</v>
      </c>
      <c r="H91" s="4" t="s">
        <v>625</v>
      </c>
      <c r="I91" s="4" t="s">
        <v>626</v>
      </c>
      <c r="J91" s="4" t="s">
        <v>627</v>
      </c>
      <c r="K91" s="4" t="s">
        <v>627</v>
      </c>
      <c r="L91" s="4"/>
      <c r="M91" s="7">
        <v>2021.0</v>
      </c>
      <c r="N91" s="4" t="s">
        <v>628</v>
      </c>
      <c r="O91" s="4" t="s">
        <v>628</v>
      </c>
      <c r="P91" s="7">
        <v>7372.0</v>
      </c>
      <c r="Q91" s="7">
        <v>7370.0</v>
      </c>
      <c r="R91" s="7">
        <v>17.0</v>
      </c>
      <c r="S91" s="4"/>
      <c r="T91" s="4"/>
      <c r="U91" s="4"/>
      <c r="V91" s="4"/>
      <c r="W91" s="4"/>
      <c r="X91" s="4"/>
      <c r="Y91" s="4"/>
    </row>
    <row r="92">
      <c r="A92" s="4" t="s">
        <v>629</v>
      </c>
      <c r="B92" s="7">
        <v>1018164.0</v>
      </c>
      <c r="C92" s="8" t="s">
        <v>20</v>
      </c>
      <c r="D92" s="9" t="s">
        <v>630</v>
      </c>
      <c r="E92" s="4" t="s">
        <v>631</v>
      </c>
      <c r="F92" s="7">
        <v>1018164.0</v>
      </c>
      <c r="G92" s="7">
        <v>1018164.0</v>
      </c>
      <c r="H92" s="4" t="s">
        <v>632</v>
      </c>
      <c r="I92" s="4" t="s">
        <v>633</v>
      </c>
      <c r="J92" s="4" t="s">
        <v>634</v>
      </c>
      <c r="K92" s="4" t="s">
        <v>634</v>
      </c>
      <c r="L92" s="4" t="s">
        <v>634</v>
      </c>
      <c r="M92" s="7">
        <v>1996.0</v>
      </c>
      <c r="N92" s="4" t="s">
        <v>445</v>
      </c>
      <c r="O92" s="4" t="s">
        <v>445</v>
      </c>
      <c r="P92" s="7">
        <v>7359.0</v>
      </c>
      <c r="Q92" s="7">
        <v>7359.0</v>
      </c>
      <c r="R92" s="7">
        <v>8.0</v>
      </c>
      <c r="S92" s="4"/>
      <c r="T92" s="4"/>
      <c r="U92" s="4"/>
      <c r="V92" s="4"/>
      <c r="W92" s="4"/>
      <c r="X92" s="4"/>
      <c r="Y92" s="4"/>
    </row>
    <row r="93">
      <c r="A93" s="4" t="s">
        <v>635</v>
      </c>
      <c r="B93" s="7">
        <v>1332626.0</v>
      </c>
      <c r="C93" s="8" t="s">
        <v>20</v>
      </c>
      <c r="D93" s="9" t="s">
        <v>636</v>
      </c>
      <c r="E93" s="4" t="s">
        <v>637</v>
      </c>
      <c r="F93" s="7">
        <v>1332626.0</v>
      </c>
      <c r="G93" s="4"/>
      <c r="H93" s="4" t="s">
        <v>638</v>
      </c>
      <c r="I93" s="4" t="s">
        <v>639</v>
      </c>
      <c r="J93" s="4" t="s">
        <v>640</v>
      </c>
      <c r="K93" s="4" t="s">
        <v>640</v>
      </c>
      <c r="L93" s="4" t="s">
        <v>640</v>
      </c>
      <c r="M93" s="7">
        <v>2005.0</v>
      </c>
      <c r="N93" s="4"/>
      <c r="O93" s="4"/>
      <c r="P93" s="7">
        <v>6712.0</v>
      </c>
      <c r="Q93" s="7">
        <v>6020.0</v>
      </c>
      <c r="R93" s="7">
        <v>26.0</v>
      </c>
      <c r="S93" s="4"/>
      <c r="T93" s="4"/>
      <c r="U93" s="4"/>
      <c r="V93" s="4"/>
      <c r="W93" s="4"/>
      <c r="X93" s="4"/>
      <c r="Y93" s="4"/>
    </row>
    <row r="94">
      <c r="A94" s="4" t="s">
        <v>641</v>
      </c>
      <c r="B94" s="7">
        <v>1068292.0</v>
      </c>
      <c r="C94" s="8" t="s">
        <v>20</v>
      </c>
      <c r="D94" s="9" t="s">
        <v>642</v>
      </c>
      <c r="E94" s="4" t="s">
        <v>643</v>
      </c>
      <c r="F94" s="7">
        <v>1068292.0</v>
      </c>
      <c r="G94" s="4"/>
      <c r="H94" s="4" t="s">
        <v>644</v>
      </c>
      <c r="I94" s="4" t="s">
        <v>645</v>
      </c>
      <c r="J94" s="4" t="s">
        <v>646</v>
      </c>
      <c r="K94" s="4" t="s">
        <v>646</v>
      </c>
      <c r="L94" s="4" t="s">
        <v>646</v>
      </c>
      <c r="M94" s="7">
        <v>1999.0</v>
      </c>
      <c r="N94" s="4" t="s">
        <v>647</v>
      </c>
      <c r="O94" s="4" t="s">
        <v>647</v>
      </c>
      <c r="P94" s="7">
        <v>7372.0</v>
      </c>
      <c r="Q94" s="7">
        <v>7373.0</v>
      </c>
      <c r="R94" s="7">
        <v>15.0</v>
      </c>
      <c r="S94" s="4"/>
      <c r="T94" s="4"/>
      <c r="U94" s="4"/>
      <c r="V94" s="4"/>
      <c r="W94" s="4"/>
      <c r="X94" s="4"/>
      <c r="Y94" s="4"/>
    </row>
    <row r="95">
      <c r="A95" s="4" t="s">
        <v>648</v>
      </c>
      <c r="B95" s="7">
        <v>1312928.0</v>
      </c>
      <c r="C95" s="8" t="s">
        <v>20</v>
      </c>
      <c r="D95" s="9" t="s">
        <v>649</v>
      </c>
      <c r="E95" s="4" t="s">
        <v>650</v>
      </c>
      <c r="F95" s="7">
        <v>1312928.0</v>
      </c>
      <c r="G95" s="4"/>
      <c r="H95" s="4" t="s">
        <v>651</v>
      </c>
      <c r="I95" s="4" t="s">
        <v>652</v>
      </c>
      <c r="J95" s="4" t="s">
        <v>653</v>
      </c>
      <c r="K95" s="4" t="s">
        <v>653</v>
      </c>
      <c r="L95" s="4" t="s">
        <v>653</v>
      </c>
      <c r="M95" s="7">
        <v>2012.0</v>
      </c>
      <c r="N95" s="4" t="s">
        <v>654</v>
      </c>
      <c r="O95" s="4" t="s">
        <v>654</v>
      </c>
      <c r="P95" s="7">
        <v>7389.0</v>
      </c>
      <c r="Q95" s="7">
        <v>7370.0</v>
      </c>
      <c r="R95" s="7">
        <v>26.0</v>
      </c>
      <c r="S95" s="4"/>
      <c r="T95" s="4"/>
      <c r="U95" s="4"/>
      <c r="V95" s="4"/>
      <c r="W95" s="4"/>
      <c r="X95" s="4"/>
      <c r="Y95" s="4"/>
    </row>
    <row r="96">
      <c r="A96" s="4" t="s">
        <v>655</v>
      </c>
      <c r="B96" s="7">
        <v>1012483.0</v>
      </c>
      <c r="C96" s="8" t="s">
        <v>20</v>
      </c>
      <c r="D96" s="9" t="s">
        <v>656</v>
      </c>
      <c r="E96" s="4" t="s">
        <v>657</v>
      </c>
      <c r="F96" s="7">
        <v>1012483.0</v>
      </c>
      <c r="G96" s="4"/>
      <c r="H96" s="4" t="s">
        <v>658</v>
      </c>
      <c r="I96" s="4" t="s">
        <v>659</v>
      </c>
      <c r="J96" s="4" t="s">
        <v>660</v>
      </c>
      <c r="K96" s="4" t="s">
        <v>661</v>
      </c>
      <c r="L96" s="4" t="s">
        <v>660</v>
      </c>
      <c r="M96" s="7">
        <v>1996.0</v>
      </c>
      <c r="N96" s="4" t="s">
        <v>662</v>
      </c>
      <c r="O96" s="4" t="s">
        <v>662</v>
      </c>
      <c r="P96" s="7">
        <v>6141.0</v>
      </c>
      <c r="Q96" s="7">
        <v>4700.0</v>
      </c>
      <c r="R96" s="7">
        <v>12.0</v>
      </c>
      <c r="S96" s="4"/>
      <c r="T96" s="4"/>
      <c r="U96" s="4"/>
      <c r="V96" s="4"/>
      <c r="W96" s="4"/>
      <c r="X96" s="4"/>
      <c r="Y96" s="4"/>
    </row>
    <row r="97">
      <c r="A97" s="4" t="s">
        <v>663</v>
      </c>
      <c r="B97" s="7">
        <v>1062621.0</v>
      </c>
      <c r="C97" s="8" t="s">
        <v>20</v>
      </c>
      <c r="D97" s="9" t="s">
        <v>664</v>
      </c>
      <c r="E97" s="4" t="s">
        <v>665</v>
      </c>
      <c r="F97" s="7">
        <v>1062621.0</v>
      </c>
      <c r="G97" s="4"/>
      <c r="H97" s="4" t="s">
        <v>666</v>
      </c>
      <c r="I97" s="4" t="s">
        <v>667</v>
      </c>
      <c r="J97" s="4" t="s">
        <v>668</v>
      </c>
      <c r="K97" s="4" t="s">
        <v>668</v>
      </c>
      <c r="L97" s="4" t="s">
        <v>669</v>
      </c>
      <c r="M97" s="7">
        <v>1998.0</v>
      </c>
      <c r="N97" s="4" t="s">
        <v>670</v>
      </c>
      <c r="O97" s="4" t="s">
        <v>670</v>
      </c>
      <c r="P97" s="7">
        <v>7372.0</v>
      </c>
      <c r="Q97" s="7">
        <v>7372.0</v>
      </c>
      <c r="R97" s="7">
        <v>7.0</v>
      </c>
      <c r="S97" s="4"/>
      <c r="T97" s="4"/>
      <c r="U97" s="4"/>
      <c r="V97" s="4"/>
      <c r="W97" s="4"/>
      <c r="X97" s="4"/>
      <c r="Y97" s="4"/>
    </row>
    <row r="98">
      <c r="A98" s="4" t="s">
        <v>671</v>
      </c>
      <c r="B98" s="7">
        <v>873860.0</v>
      </c>
      <c r="C98" s="8" t="s">
        <v>20</v>
      </c>
      <c r="D98" s="9" t="s">
        <v>672</v>
      </c>
      <c r="E98" s="4" t="s">
        <v>673</v>
      </c>
      <c r="F98" s="7">
        <v>873860.0</v>
      </c>
      <c r="G98" s="4"/>
      <c r="H98" s="4" t="s">
        <v>674</v>
      </c>
      <c r="I98" s="4" t="s">
        <v>675</v>
      </c>
      <c r="J98" s="4" t="s">
        <v>676</v>
      </c>
      <c r="K98" s="4" t="s">
        <v>677</v>
      </c>
      <c r="L98" s="4" t="s">
        <v>676</v>
      </c>
      <c r="M98" s="7">
        <v>1996.0</v>
      </c>
      <c r="N98" s="4" t="s">
        <v>678</v>
      </c>
      <c r="O98" s="4" t="s">
        <v>678</v>
      </c>
      <c r="P98" s="7">
        <v>6162.0</v>
      </c>
      <c r="Q98" s="7">
        <v>6162.0</v>
      </c>
      <c r="R98" s="7">
        <v>15.0</v>
      </c>
      <c r="S98" s="4"/>
      <c r="T98" s="4"/>
      <c r="U98" s="4"/>
      <c r="V98" s="4"/>
      <c r="W98" s="4"/>
      <c r="X98" s="4"/>
      <c r="Y98" s="4"/>
    </row>
    <row r="99">
      <c r="A99" s="4" t="s">
        <v>679</v>
      </c>
      <c r="B99" s="7">
        <v>1476651.0</v>
      </c>
      <c r="C99" s="8" t="s">
        <v>20</v>
      </c>
      <c r="D99" s="9" t="s">
        <v>581</v>
      </c>
      <c r="E99" s="4" t="s">
        <v>680</v>
      </c>
      <c r="F99" s="7">
        <v>1476651.0</v>
      </c>
      <c r="G99" s="4"/>
      <c r="H99" s="4" t="s">
        <v>681</v>
      </c>
      <c r="I99" s="4" t="s">
        <v>682</v>
      </c>
      <c r="J99" s="4"/>
      <c r="K99" s="4" t="s">
        <v>683</v>
      </c>
      <c r="L99" s="4"/>
      <c r="M99" s="7">
        <v>2014.0</v>
      </c>
      <c r="N99" s="4" t="s">
        <v>684</v>
      </c>
      <c r="O99" s="4" t="s">
        <v>684</v>
      </c>
      <c r="P99" s="7">
        <v>6021.0</v>
      </c>
      <c r="Q99" s="7">
        <v>6020.0</v>
      </c>
      <c r="R99" s="7">
        <v>22.0</v>
      </c>
      <c r="S99" s="4"/>
      <c r="T99" s="4"/>
      <c r="U99" s="4"/>
      <c r="V99" s="4"/>
      <c r="W99" s="4"/>
      <c r="X99" s="4"/>
      <c r="Y99" s="4"/>
    </row>
    <row r="100">
      <c r="A100" s="4" t="s">
        <v>685</v>
      </c>
      <c r="B100" s="7">
        <v>1773383.0</v>
      </c>
      <c r="C100" s="8" t="s">
        <v>20</v>
      </c>
      <c r="D100" s="9" t="s">
        <v>686</v>
      </c>
      <c r="E100" s="4" t="s">
        <v>687</v>
      </c>
      <c r="F100" s="7">
        <v>1773383.0</v>
      </c>
      <c r="G100" s="7">
        <v>1773383.0</v>
      </c>
      <c r="H100" s="4" t="s">
        <v>688</v>
      </c>
      <c r="I100" s="4" t="s">
        <v>689</v>
      </c>
      <c r="J100" s="4" t="s">
        <v>690</v>
      </c>
      <c r="K100" s="4" t="s">
        <v>690</v>
      </c>
      <c r="L100" s="4" t="s">
        <v>690</v>
      </c>
      <c r="M100" s="7">
        <v>2019.0</v>
      </c>
      <c r="N100" s="4" t="s">
        <v>691</v>
      </c>
      <c r="O100" s="4" t="s">
        <v>691</v>
      </c>
      <c r="P100" s="7">
        <v>7372.0</v>
      </c>
      <c r="Q100" s="7">
        <v>7370.0</v>
      </c>
      <c r="R100" s="7">
        <v>16.0</v>
      </c>
      <c r="S100" s="4"/>
      <c r="T100" s="4"/>
      <c r="U100" s="4"/>
      <c r="V100" s="4"/>
      <c r="W100" s="4"/>
      <c r="X100" s="4"/>
      <c r="Y100" s="4"/>
    </row>
    <row r="101">
      <c r="A101" s="4" t="s">
        <v>692</v>
      </c>
      <c r="B101" s="7">
        <v>1035656.0</v>
      </c>
      <c r="C101" s="8" t="s">
        <v>20</v>
      </c>
      <c r="D101" s="9" t="s">
        <v>693</v>
      </c>
      <c r="E101" s="4" t="s">
        <v>694</v>
      </c>
      <c r="F101" s="7">
        <v>1035656.0</v>
      </c>
      <c r="G101" s="4"/>
      <c r="H101" s="4" t="s">
        <v>695</v>
      </c>
      <c r="I101" s="4" t="s">
        <v>696</v>
      </c>
      <c r="J101" s="4" t="s">
        <v>697</v>
      </c>
      <c r="K101" s="4" t="s">
        <v>697</v>
      </c>
      <c r="L101" s="4" t="s">
        <v>697</v>
      </c>
      <c r="M101" s="7">
        <v>2002.0</v>
      </c>
      <c r="N101" s="4" t="s">
        <v>698</v>
      </c>
      <c r="O101" s="4" t="s">
        <v>698</v>
      </c>
      <c r="P101" s="7">
        <v>7372.0</v>
      </c>
      <c r="Q101" s="7">
        <v>7372.0</v>
      </c>
      <c r="R101" s="7">
        <v>8.5</v>
      </c>
      <c r="S101" s="4"/>
      <c r="T101" s="4"/>
      <c r="U101" s="4"/>
      <c r="V101" s="4"/>
      <c r="W101" s="4"/>
      <c r="X101" s="4"/>
      <c r="Y101" s="4"/>
    </row>
    <row r="102">
      <c r="A102" s="4" t="s">
        <v>699</v>
      </c>
      <c r="B102" s="7">
        <v>1429386.0</v>
      </c>
      <c r="C102" s="8" t="s">
        <v>20</v>
      </c>
      <c r="D102" s="9" t="s">
        <v>700</v>
      </c>
      <c r="E102" s="4" t="s">
        <v>701</v>
      </c>
      <c r="F102" s="7">
        <v>1429386.0</v>
      </c>
      <c r="G102" s="4"/>
      <c r="H102" s="4" t="s">
        <v>702</v>
      </c>
      <c r="I102" s="4" t="s">
        <v>703</v>
      </c>
      <c r="J102" s="4" t="s">
        <v>704</v>
      </c>
      <c r="K102" s="4" t="s">
        <v>705</v>
      </c>
      <c r="L102" s="4" t="s">
        <v>704</v>
      </c>
      <c r="M102" s="7">
        <v>2016.0</v>
      </c>
      <c r="N102" s="4" t="s">
        <v>706</v>
      </c>
      <c r="O102" s="4" t="s">
        <v>706</v>
      </c>
      <c r="P102" s="7">
        <v>8731.0</v>
      </c>
      <c r="Q102" s="7">
        <v>2836.0</v>
      </c>
      <c r="R102" s="7">
        <v>5.0</v>
      </c>
      <c r="S102" s="4"/>
      <c r="T102" s="4"/>
      <c r="U102" s="4"/>
      <c r="V102" s="4"/>
      <c r="W102" s="4"/>
      <c r="X102" s="4"/>
      <c r="Y102" s="4"/>
    </row>
    <row r="103">
      <c r="A103" s="10" t="s">
        <v>707</v>
      </c>
      <c r="B103" s="11">
        <v>1015464.0</v>
      </c>
      <c r="C103" s="8" t="s">
        <v>20</v>
      </c>
      <c r="D103" s="12" t="s">
        <v>708</v>
      </c>
      <c r="E103" s="10" t="s">
        <v>709</v>
      </c>
      <c r="F103" s="11">
        <v>1015464.0</v>
      </c>
      <c r="G103" s="10"/>
      <c r="H103" s="10" t="s">
        <v>710</v>
      </c>
      <c r="I103" s="10" t="s">
        <v>711</v>
      </c>
      <c r="J103" s="10" t="s">
        <v>712</v>
      </c>
      <c r="K103" s="10" t="s">
        <v>712</v>
      </c>
      <c r="L103" s="10" t="s">
        <v>712</v>
      </c>
      <c r="M103" s="11">
        <v>1997.0</v>
      </c>
      <c r="N103" s="10" t="s">
        <v>713</v>
      </c>
      <c r="O103" s="10" t="s">
        <v>713</v>
      </c>
      <c r="P103" s="11">
        <v>7372.0</v>
      </c>
      <c r="Q103" s="11">
        <v>7372.0</v>
      </c>
      <c r="R103" s="11">
        <v>11.0</v>
      </c>
      <c r="S103" s="10"/>
      <c r="T103" s="10"/>
      <c r="U103" s="10"/>
      <c r="V103" s="4"/>
      <c r="W103" s="4"/>
      <c r="X103" s="4"/>
      <c r="Y103" s="4"/>
    </row>
    <row r="104">
      <c r="A104" s="10" t="s">
        <v>714</v>
      </c>
      <c r="B104" s="11">
        <v>1103354.0</v>
      </c>
      <c r="C104" s="8" t="s">
        <v>20</v>
      </c>
      <c r="D104" s="12" t="s">
        <v>715</v>
      </c>
      <c r="E104" s="10" t="s">
        <v>716</v>
      </c>
      <c r="F104" s="11">
        <v>1103354.0</v>
      </c>
      <c r="G104" s="10"/>
      <c r="H104" s="10" t="s">
        <v>717</v>
      </c>
      <c r="I104" s="10" t="s">
        <v>718</v>
      </c>
      <c r="J104" s="10" t="s">
        <v>719</v>
      </c>
      <c r="K104" s="10" t="s">
        <v>719</v>
      </c>
      <c r="L104" s="10" t="s">
        <v>719</v>
      </c>
      <c r="M104" s="11">
        <v>2000.0</v>
      </c>
      <c r="N104" s="10" t="s">
        <v>720</v>
      </c>
      <c r="O104" s="10" t="s">
        <v>720</v>
      </c>
      <c r="P104" s="11">
        <v>7372.0</v>
      </c>
      <c r="Q104" s="11">
        <v>7372.0</v>
      </c>
      <c r="R104" s="11">
        <v>17.0</v>
      </c>
      <c r="S104" s="10"/>
      <c r="T104" s="10"/>
      <c r="U104" s="10"/>
      <c r="V104" s="4"/>
      <c r="W104" s="4"/>
      <c r="X104" s="4"/>
      <c r="Y104" s="4"/>
    </row>
    <row r="105">
      <c r="A105" s="10" t="s">
        <v>721</v>
      </c>
      <c r="B105" s="11">
        <v>1103025.0</v>
      </c>
      <c r="C105" s="8" t="s">
        <v>20</v>
      </c>
      <c r="D105" s="12" t="s">
        <v>722</v>
      </c>
      <c r="E105" s="10" t="s">
        <v>723</v>
      </c>
      <c r="F105" s="11">
        <v>1103025.0</v>
      </c>
      <c r="G105" s="10"/>
      <c r="H105" s="10" t="s">
        <v>724</v>
      </c>
      <c r="I105" s="10" t="s">
        <v>725</v>
      </c>
      <c r="J105" s="10" t="s">
        <v>726</v>
      </c>
      <c r="K105" s="10" t="s">
        <v>726</v>
      </c>
      <c r="L105" s="10" t="s">
        <v>726</v>
      </c>
      <c r="M105" s="11">
        <v>2005.0</v>
      </c>
      <c r="N105" s="10"/>
      <c r="O105" s="10"/>
      <c r="P105" s="11">
        <v>7375.0</v>
      </c>
      <c r="Q105" s="11">
        <v>7374.0</v>
      </c>
      <c r="R105" s="11">
        <v>9.0</v>
      </c>
      <c r="S105" s="10"/>
      <c r="T105" s="10"/>
      <c r="U105" s="10"/>
      <c r="V105" s="4"/>
      <c r="W105" s="4"/>
      <c r="X105" s="4"/>
      <c r="Y105" s="4"/>
    </row>
    <row r="106">
      <c r="A106" s="10" t="s">
        <v>727</v>
      </c>
      <c r="B106" s="11">
        <v>1831828.0</v>
      </c>
      <c r="C106" s="8" t="s">
        <v>20</v>
      </c>
      <c r="D106" s="12" t="s">
        <v>728</v>
      </c>
      <c r="E106" s="10" t="s">
        <v>729</v>
      </c>
      <c r="F106" s="11">
        <v>1831828.0</v>
      </c>
      <c r="G106" s="11">
        <v>1831828.0</v>
      </c>
      <c r="H106" s="10" t="s">
        <v>730</v>
      </c>
      <c r="I106" s="10" t="s">
        <v>731</v>
      </c>
      <c r="J106" s="10" t="s">
        <v>732</v>
      </c>
      <c r="K106" s="10" t="s">
        <v>732</v>
      </c>
      <c r="L106" s="10" t="s">
        <v>732</v>
      </c>
      <c r="M106" s="11">
        <v>2021.0</v>
      </c>
      <c r="N106" s="10" t="s">
        <v>733</v>
      </c>
      <c r="O106" s="10" t="s">
        <v>733</v>
      </c>
      <c r="P106" s="11">
        <v>8731.0</v>
      </c>
      <c r="Q106" s="11">
        <v>2836.0</v>
      </c>
      <c r="R106" s="11">
        <v>11.0</v>
      </c>
      <c r="S106" s="10"/>
      <c r="T106" s="10"/>
      <c r="U106" s="10"/>
      <c r="V106" s="4"/>
      <c r="W106" s="4"/>
      <c r="X106" s="4"/>
      <c r="Y106" s="4"/>
    </row>
    <row r="107">
      <c r="A107" s="10" t="s">
        <v>734</v>
      </c>
      <c r="B107" s="11">
        <v>1025134.0</v>
      </c>
      <c r="C107" s="8" t="s">
        <v>20</v>
      </c>
      <c r="D107" s="12" t="s">
        <v>735</v>
      </c>
      <c r="E107" s="10" t="s">
        <v>736</v>
      </c>
      <c r="F107" s="11">
        <v>1025134.0</v>
      </c>
      <c r="G107" s="10"/>
      <c r="H107" s="10" t="s">
        <v>737</v>
      </c>
      <c r="I107" s="10" t="s">
        <v>738</v>
      </c>
      <c r="J107" s="10" t="s">
        <v>739</v>
      </c>
      <c r="K107" s="10" t="s">
        <v>739</v>
      </c>
      <c r="L107" s="10" t="s">
        <v>739</v>
      </c>
      <c r="M107" s="11">
        <v>1999.0</v>
      </c>
      <c r="N107" s="10" t="s">
        <v>740</v>
      </c>
      <c r="O107" s="10" t="s">
        <v>740</v>
      </c>
      <c r="P107" s="11">
        <v>7372.0</v>
      </c>
      <c r="Q107" s="11">
        <v>5045.0</v>
      </c>
      <c r="R107" s="11">
        <v>16.0</v>
      </c>
      <c r="S107" s="10"/>
      <c r="T107" s="10"/>
      <c r="U107" s="10"/>
      <c r="V107" s="4"/>
      <c r="W107" s="4"/>
      <c r="X107" s="4"/>
      <c r="Y107" s="4"/>
    </row>
    <row r="108">
      <c r="A108" s="10" t="s">
        <v>741</v>
      </c>
      <c r="B108" s="11">
        <v>923410.0</v>
      </c>
      <c r="C108" s="8" t="s">
        <v>20</v>
      </c>
      <c r="D108" s="12" t="s">
        <v>742</v>
      </c>
      <c r="E108" s="10" t="s">
        <v>743</v>
      </c>
      <c r="F108" s="11">
        <v>923410.0</v>
      </c>
      <c r="G108" s="11">
        <v>1641614.0</v>
      </c>
      <c r="H108" s="10" t="s">
        <v>744</v>
      </c>
      <c r="I108" s="10" t="s">
        <v>745</v>
      </c>
      <c r="J108" s="10" t="s">
        <v>746</v>
      </c>
      <c r="K108" s="10" t="s">
        <v>747</v>
      </c>
      <c r="L108" s="10" t="s">
        <v>746</v>
      </c>
      <c r="M108" s="11">
        <v>1994.0</v>
      </c>
      <c r="N108" s="10"/>
      <c r="O108" s="10"/>
      <c r="P108" s="11">
        <v>7389.0</v>
      </c>
      <c r="Q108" s="11">
        <v>7389.0</v>
      </c>
      <c r="R108" s="11">
        <v>8.0</v>
      </c>
      <c r="S108" s="10"/>
      <c r="T108" s="10"/>
      <c r="U108" s="10"/>
      <c r="V108" s="4"/>
      <c r="W108" s="4"/>
      <c r="X108" s="4"/>
      <c r="Y108" s="4"/>
    </row>
    <row r="109">
      <c r="A109" s="10" t="s">
        <v>748</v>
      </c>
      <c r="B109" s="11">
        <v>1101215.0</v>
      </c>
      <c r="C109" s="8" t="s">
        <v>749</v>
      </c>
      <c r="D109" s="13" t="s">
        <v>750</v>
      </c>
      <c r="E109" s="10"/>
      <c r="F109" s="10"/>
      <c r="G109" s="10"/>
      <c r="H109" s="10" t="s">
        <v>751</v>
      </c>
      <c r="I109" s="10" t="s">
        <v>752</v>
      </c>
      <c r="J109" s="10" t="s">
        <v>753</v>
      </c>
      <c r="K109" s="10"/>
      <c r="L109" s="10"/>
      <c r="M109" s="11">
        <v>2001.0</v>
      </c>
      <c r="N109" s="10"/>
      <c r="O109" s="10"/>
      <c r="P109" s="11">
        <v>8742.0</v>
      </c>
      <c r="Q109" s="10"/>
      <c r="R109" s="11">
        <v>12.0</v>
      </c>
      <c r="S109" s="10"/>
      <c r="T109" s="10"/>
      <c r="U109" s="10"/>
      <c r="V109" s="4"/>
      <c r="W109" s="4"/>
      <c r="X109" s="4"/>
      <c r="Y109" s="4"/>
    </row>
    <row r="110">
      <c r="A110" s="10" t="s">
        <v>754</v>
      </c>
      <c r="B110" s="11">
        <v>1013058.0</v>
      </c>
      <c r="C110" s="8" t="s">
        <v>20</v>
      </c>
      <c r="D110" s="12" t="s">
        <v>755</v>
      </c>
      <c r="E110" s="10" t="s">
        <v>756</v>
      </c>
      <c r="F110" s="11">
        <v>1013058.0</v>
      </c>
      <c r="G110" s="10"/>
      <c r="H110" s="10" t="s">
        <v>757</v>
      </c>
      <c r="I110" s="10" t="s">
        <v>758</v>
      </c>
      <c r="J110" s="10" t="s">
        <v>759</v>
      </c>
      <c r="K110" s="10" t="s">
        <v>759</v>
      </c>
      <c r="L110" s="10" t="s">
        <v>759</v>
      </c>
      <c r="M110" s="11">
        <v>1996.0</v>
      </c>
      <c r="N110" s="10" t="s">
        <v>760</v>
      </c>
      <c r="O110" s="10" t="s">
        <v>760</v>
      </c>
      <c r="P110" s="11">
        <v>7389.0</v>
      </c>
      <c r="Q110" s="11">
        <v>7389.0</v>
      </c>
      <c r="R110" s="11">
        <v>14.5</v>
      </c>
      <c r="S110" s="10"/>
      <c r="T110" s="10"/>
      <c r="U110" s="10"/>
      <c r="V110" s="4"/>
      <c r="W110" s="4"/>
      <c r="X110" s="4"/>
      <c r="Y110" s="4"/>
    </row>
    <row r="111">
      <c r="A111" s="10" t="s">
        <v>761</v>
      </c>
      <c r="B111" s="11">
        <v>1352010.0</v>
      </c>
      <c r="C111" s="8" t="s">
        <v>762</v>
      </c>
      <c r="D111" s="12" t="s">
        <v>763</v>
      </c>
      <c r="E111" s="10" t="s">
        <v>764</v>
      </c>
      <c r="F111" s="11">
        <v>1352010.0</v>
      </c>
      <c r="G111" s="11">
        <v>1352010.0</v>
      </c>
      <c r="H111" s="10" t="s">
        <v>765</v>
      </c>
      <c r="I111" s="10" t="s">
        <v>766</v>
      </c>
      <c r="J111" s="10" t="s">
        <v>767</v>
      </c>
      <c r="K111" s="10" t="s">
        <v>767</v>
      </c>
      <c r="L111" s="10"/>
      <c r="M111" s="11">
        <v>2012.0</v>
      </c>
      <c r="N111" s="10" t="s">
        <v>768</v>
      </c>
      <c r="O111" s="10" t="s">
        <v>768</v>
      </c>
      <c r="P111" s="11">
        <v>7371.0</v>
      </c>
      <c r="Q111" s="11">
        <v>7370.0</v>
      </c>
      <c r="R111" s="11">
        <v>12.0</v>
      </c>
      <c r="S111" s="10"/>
      <c r="T111" s="10"/>
      <c r="U111" s="10"/>
      <c r="V111" s="4"/>
      <c r="W111" s="4"/>
      <c r="X111" s="4"/>
      <c r="Y111" s="4"/>
    </row>
    <row r="112">
      <c r="A112" s="10" t="s">
        <v>769</v>
      </c>
      <c r="B112" s="11">
        <v>1096287.0</v>
      </c>
      <c r="C112" s="8" t="s">
        <v>20</v>
      </c>
      <c r="D112" s="12" t="s">
        <v>770</v>
      </c>
      <c r="E112" s="10" t="s">
        <v>771</v>
      </c>
      <c r="F112" s="11">
        <v>1096287.0</v>
      </c>
      <c r="G112" s="10"/>
      <c r="H112" s="10" t="s">
        <v>772</v>
      </c>
      <c r="I112" s="10" t="s">
        <v>773</v>
      </c>
      <c r="J112" s="10" t="s">
        <v>774</v>
      </c>
      <c r="K112" s="10" t="s">
        <v>774</v>
      </c>
      <c r="L112" s="10" t="s">
        <v>775</v>
      </c>
      <c r="M112" s="11">
        <v>1999.0</v>
      </c>
      <c r="N112" s="10" t="s">
        <v>776</v>
      </c>
      <c r="O112" s="10" t="s">
        <v>776</v>
      </c>
      <c r="P112" s="11">
        <v>7373.0</v>
      </c>
      <c r="Q112" s="11">
        <v>7372.0</v>
      </c>
      <c r="R112" s="11">
        <v>19.0</v>
      </c>
      <c r="S112" s="10"/>
      <c r="T112" s="10"/>
      <c r="U112" s="10"/>
      <c r="V112" s="4"/>
      <c r="W112" s="4"/>
      <c r="X112" s="4"/>
      <c r="Y112" s="4"/>
    </row>
    <row r="113">
      <c r="A113" s="10" t="s">
        <v>777</v>
      </c>
      <c r="B113" s="11">
        <v>923144.0</v>
      </c>
      <c r="C113" s="8" t="s">
        <v>20</v>
      </c>
      <c r="D113" s="12" t="s">
        <v>778</v>
      </c>
      <c r="E113" s="10" t="s">
        <v>779</v>
      </c>
      <c r="F113" s="10"/>
      <c r="G113" s="10"/>
      <c r="H113" s="10" t="s">
        <v>780</v>
      </c>
      <c r="I113" s="10" t="s">
        <v>781</v>
      </c>
      <c r="J113" s="10"/>
      <c r="K113" s="10" t="s">
        <v>782</v>
      </c>
      <c r="L113" s="10"/>
      <c r="M113" s="11">
        <v>2005.0</v>
      </c>
      <c r="N113" s="10" t="s">
        <v>783</v>
      </c>
      <c r="O113" s="10" t="s">
        <v>783</v>
      </c>
      <c r="P113" s="11">
        <v>6519.0</v>
      </c>
      <c r="Q113" s="11">
        <v>7359.0</v>
      </c>
      <c r="R113" s="11">
        <v>16.0</v>
      </c>
      <c r="S113" s="10"/>
      <c r="T113" s="10"/>
      <c r="U113" s="10"/>
      <c r="V113" s="4"/>
      <c r="W113" s="4"/>
      <c r="X113" s="4"/>
      <c r="Y113" s="4"/>
    </row>
    <row r="114">
      <c r="A114" s="10" t="s">
        <v>784</v>
      </c>
      <c r="B114" s="11">
        <v>1590418.0</v>
      </c>
      <c r="C114" s="8" t="s">
        <v>20</v>
      </c>
      <c r="D114" s="12" t="s">
        <v>785</v>
      </c>
      <c r="E114" s="10"/>
      <c r="F114" s="10"/>
      <c r="G114" s="11">
        <v>1590418.0</v>
      </c>
      <c r="H114" s="10" t="s">
        <v>786</v>
      </c>
      <c r="I114" s="10" t="s">
        <v>787</v>
      </c>
      <c r="J114" s="10" t="s">
        <v>788</v>
      </c>
      <c r="K114" s="10"/>
      <c r="L114" s="10" t="s">
        <v>788</v>
      </c>
      <c r="M114" s="11">
        <v>2021.0</v>
      </c>
      <c r="N114" s="10"/>
      <c r="O114" s="10"/>
      <c r="P114" s="11">
        <v>8742.0</v>
      </c>
      <c r="Q114" s="10"/>
      <c r="R114" s="11">
        <v>5.0</v>
      </c>
      <c r="S114" s="10"/>
      <c r="T114" s="10"/>
      <c r="U114" s="10"/>
      <c r="V114" s="4"/>
      <c r="W114" s="4"/>
      <c r="X114" s="4"/>
      <c r="Y114" s="4"/>
    </row>
    <row r="115">
      <c r="A115" s="10" t="s">
        <v>789</v>
      </c>
      <c r="B115" s="11">
        <v>1013698.0</v>
      </c>
      <c r="C115" s="8" t="s">
        <v>20</v>
      </c>
      <c r="D115" s="12" t="s">
        <v>790</v>
      </c>
      <c r="E115" s="10" t="s">
        <v>791</v>
      </c>
      <c r="F115" s="11">
        <v>1013698.0</v>
      </c>
      <c r="G115" s="10"/>
      <c r="H115" s="10" t="s">
        <v>792</v>
      </c>
      <c r="I115" s="10" t="s">
        <v>793</v>
      </c>
      <c r="J115" s="10" t="s">
        <v>794</v>
      </c>
      <c r="K115" s="10" t="s">
        <v>794</v>
      </c>
      <c r="L115" s="10" t="s">
        <v>795</v>
      </c>
      <c r="M115" s="11">
        <v>1996.0</v>
      </c>
      <c r="N115" s="10" t="s">
        <v>796</v>
      </c>
      <c r="O115" s="10" t="s">
        <v>796</v>
      </c>
      <c r="P115" s="11">
        <v>6331.0</v>
      </c>
      <c r="Q115" s="11">
        <v>6331.0</v>
      </c>
      <c r="R115" s="11">
        <v>12.5</v>
      </c>
      <c r="S115" s="10"/>
      <c r="T115" s="10"/>
      <c r="U115" s="10"/>
      <c r="V115" s="4"/>
      <c r="W115" s="4"/>
      <c r="X115" s="4"/>
      <c r="Y115" s="4"/>
    </row>
    <row r="116">
      <c r="A116" s="10" t="s">
        <v>797</v>
      </c>
      <c r="B116" s="11">
        <v>1082554.0</v>
      </c>
      <c r="C116" s="8" t="s">
        <v>20</v>
      </c>
      <c r="D116" s="12" t="s">
        <v>798</v>
      </c>
      <c r="E116" s="10" t="s">
        <v>799</v>
      </c>
      <c r="F116" s="11">
        <v>1082554.0</v>
      </c>
      <c r="G116" s="11">
        <v>1082554.0</v>
      </c>
      <c r="H116" s="10" t="s">
        <v>800</v>
      </c>
      <c r="I116" s="10" t="s">
        <v>801</v>
      </c>
      <c r="J116" s="10" t="s">
        <v>802</v>
      </c>
      <c r="K116" s="10" t="s">
        <v>802</v>
      </c>
      <c r="L116" s="10" t="s">
        <v>802</v>
      </c>
      <c r="M116" s="11">
        <v>1999.0</v>
      </c>
      <c r="N116" s="10" t="s">
        <v>803</v>
      </c>
      <c r="O116" s="10" t="s">
        <v>803</v>
      </c>
      <c r="P116" s="11">
        <v>8731.0</v>
      </c>
      <c r="Q116" s="11">
        <v>2834.0</v>
      </c>
      <c r="R116" s="11">
        <v>12.0</v>
      </c>
      <c r="S116" s="10"/>
      <c r="T116" s="10"/>
      <c r="U116" s="10"/>
      <c r="V116" s="4"/>
      <c r="W116" s="4"/>
      <c r="X116" s="4"/>
      <c r="Y116" s="4"/>
    </row>
    <row r="117">
      <c r="A117" s="10" t="s">
        <v>804</v>
      </c>
      <c r="B117" s="11">
        <v>1678660.0</v>
      </c>
      <c r="C117" s="8" t="s">
        <v>20</v>
      </c>
      <c r="D117" s="12" t="s">
        <v>805</v>
      </c>
      <c r="E117" s="10" t="s">
        <v>806</v>
      </c>
      <c r="F117" s="11">
        <v>1678660.0</v>
      </c>
      <c r="G117" s="11">
        <v>1678660.0</v>
      </c>
      <c r="H117" s="10" t="s">
        <v>807</v>
      </c>
      <c r="I117" s="10" t="s">
        <v>808</v>
      </c>
      <c r="J117" s="10" t="s">
        <v>809</v>
      </c>
      <c r="K117" s="10" t="s">
        <v>809</v>
      </c>
      <c r="L117" s="10" t="s">
        <v>809</v>
      </c>
      <c r="M117" s="11">
        <v>2020.0</v>
      </c>
      <c r="N117" s="10" t="s">
        <v>810</v>
      </c>
      <c r="O117" s="10" t="s">
        <v>810</v>
      </c>
      <c r="P117" s="11">
        <v>8731.0</v>
      </c>
      <c r="Q117" s="11">
        <v>2836.0</v>
      </c>
      <c r="R117" s="11">
        <v>19.0</v>
      </c>
      <c r="S117" s="10"/>
      <c r="T117" s="10"/>
      <c r="U117" s="10"/>
      <c r="V117" s="4"/>
      <c r="W117" s="4"/>
      <c r="X117" s="4"/>
      <c r="Y117" s="4"/>
    </row>
    <row r="118">
      <c r="A118" s="10" t="s">
        <v>811</v>
      </c>
      <c r="B118" s="11">
        <v>932772.0</v>
      </c>
      <c r="C118" s="8" t="s">
        <v>20</v>
      </c>
      <c r="D118" s="12" t="s">
        <v>812</v>
      </c>
      <c r="E118" s="10"/>
      <c r="F118" s="10"/>
      <c r="G118" s="10"/>
      <c r="H118" s="10" t="s">
        <v>813</v>
      </c>
      <c r="I118" s="10" t="s">
        <v>814</v>
      </c>
      <c r="J118" s="10" t="s">
        <v>815</v>
      </c>
      <c r="K118" s="10"/>
      <c r="L118" s="10" t="s">
        <v>815</v>
      </c>
      <c r="M118" s="11">
        <v>1995.0</v>
      </c>
      <c r="N118" s="10"/>
      <c r="O118" s="10"/>
      <c r="P118" s="11">
        <v>7373.0</v>
      </c>
      <c r="Q118" s="10"/>
      <c r="R118" s="11">
        <v>5.5</v>
      </c>
      <c r="S118" s="10"/>
      <c r="T118" s="10"/>
      <c r="U118" s="10"/>
      <c r="V118" s="4"/>
      <c r="W118" s="4"/>
      <c r="X118" s="4"/>
      <c r="Y118" s="4"/>
    </row>
    <row r="119">
      <c r="A119" s="10" t="s">
        <v>816</v>
      </c>
      <c r="B119" s="11">
        <v>1088033.0</v>
      </c>
      <c r="C119" s="8" t="s">
        <v>20</v>
      </c>
      <c r="D119" s="12" t="s">
        <v>817</v>
      </c>
      <c r="E119" s="10" t="s">
        <v>818</v>
      </c>
      <c r="F119" s="11">
        <v>1088033.0</v>
      </c>
      <c r="G119" s="10"/>
      <c r="H119" s="10" t="s">
        <v>819</v>
      </c>
      <c r="I119" s="10" t="s">
        <v>820</v>
      </c>
      <c r="J119" s="10" t="s">
        <v>821</v>
      </c>
      <c r="K119" s="10" t="s">
        <v>821</v>
      </c>
      <c r="L119" s="10" t="s">
        <v>821</v>
      </c>
      <c r="M119" s="11">
        <v>1999.0</v>
      </c>
      <c r="N119" s="10" t="s">
        <v>822</v>
      </c>
      <c r="O119" s="10" t="s">
        <v>822</v>
      </c>
      <c r="P119" s="11">
        <v>7372.0</v>
      </c>
      <c r="Q119" s="11">
        <v>7372.0</v>
      </c>
      <c r="R119" s="11">
        <v>14.0</v>
      </c>
      <c r="S119" s="10"/>
      <c r="T119" s="10"/>
      <c r="U119" s="10"/>
      <c r="V119" s="4"/>
      <c r="W119" s="4"/>
      <c r="X119" s="4"/>
      <c r="Y119" s="4"/>
    </row>
    <row r="120">
      <c r="A120" s="10" t="s">
        <v>823</v>
      </c>
      <c r="B120" s="11">
        <v>1051114.0</v>
      </c>
      <c r="C120" s="8" t="s">
        <v>20</v>
      </c>
      <c r="D120" s="12" t="s">
        <v>824</v>
      </c>
      <c r="E120" s="10" t="s">
        <v>825</v>
      </c>
      <c r="F120" s="11">
        <v>1051114.0</v>
      </c>
      <c r="G120" s="10"/>
      <c r="H120" s="10" t="s">
        <v>826</v>
      </c>
      <c r="I120" s="10" t="s">
        <v>827</v>
      </c>
      <c r="J120" s="10" t="s">
        <v>828</v>
      </c>
      <c r="K120" s="10" t="s">
        <v>829</v>
      </c>
      <c r="L120" s="10" t="s">
        <v>828</v>
      </c>
      <c r="M120" s="11">
        <v>1998.0</v>
      </c>
      <c r="N120" s="10" t="s">
        <v>830</v>
      </c>
      <c r="O120" s="10" t="s">
        <v>830</v>
      </c>
      <c r="P120" s="11">
        <v>7389.0</v>
      </c>
      <c r="Q120" s="11">
        <v>7374.0</v>
      </c>
      <c r="R120" s="11">
        <v>17.0</v>
      </c>
      <c r="S120" s="10"/>
      <c r="T120" s="10"/>
      <c r="U120" s="10"/>
      <c r="V120" s="4"/>
      <c r="W120" s="4"/>
      <c r="X120" s="4"/>
      <c r="Y120" s="4"/>
    </row>
    <row r="121">
      <c r="A121" s="10" t="s">
        <v>831</v>
      </c>
      <c r="B121" s="11">
        <v>1082397.0</v>
      </c>
      <c r="C121" s="8" t="s">
        <v>20</v>
      </c>
      <c r="D121" s="12" t="s">
        <v>832</v>
      </c>
      <c r="E121" s="10"/>
      <c r="F121" s="10"/>
      <c r="G121" s="10"/>
      <c r="H121" s="10" t="s">
        <v>833</v>
      </c>
      <c r="I121" s="10" t="s">
        <v>834</v>
      </c>
      <c r="J121" s="10" t="s">
        <v>835</v>
      </c>
      <c r="K121" s="10"/>
      <c r="L121" s="10" t="s">
        <v>802</v>
      </c>
      <c r="M121" s="11">
        <v>2000.0</v>
      </c>
      <c r="N121" s="10"/>
      <c r="O121" s="10"/>
      <c r="P121" s="11">
        <v>7375.0</v>
      </c>
      <c r="Q121" s="10"/>
      <c r="R121" s="11">
        <v>7.0</v>
      </c>
      <c r="S121" s="10"/>
      <c r="T121" s="10"/>
      <c r="U121" s="10"/>
      <c r="V121" s="4"/>
      <c r="W121" s="4"/>
      <c r="X121" s="4"/>
      <c r="Y121" s="4"/>
    </row>
    <row r="122">
      <c r="A122" s="10" t="s">
        <v>836</v>
      </c>
      <c r="B122" s="11">
        <v>896145.0</v>
      </c>
      <c r="C122" s="8" t="s">
        <v>20</v>
      </c>
      <c r="D122" s="12" t="s">
        <v>837</v>
      </c>
      <c r="E122" s="10"/>
      <c r="F122" s="10"/>
      <c r="G122" s="10"/>
      <c r="H122" s="10" t="s">
        <v>838</v>
      </c>
      <c r="I122" s="10" t="s">
        <v>839</v>
      </c>
      <c r="J122" s="10" t="s">
        <v>840</v>
      </c>
      <c r="K122" s="10"/>
      <c r="L122" s="10" t="s">
        <v>840</v>
      </c>
      <c r="M122" s="11">
        <v>1996.0</v>
      </c>
      <c r="N122" s="10"/>
      <c r="O122" s="10"/>
      <c r="P122" s="11">
        <v>7373.0</v>
      </c>
      <c r="Q122" s="10"/>
      <c r="R122" s="11">
        <v>5.0</v>
      </c>
      <c r="S122" s="10"/>
      <c r="T122" s="10"/>
      <c r="U122" s="10"/>
      <c r="V122" s="4"/>
      <c r="W122" s="4"/>
      <c r="X122" s="4"/>
      <c r="Y122" s="4"/>
    </row>
    <row r="123">
      <c r="A123" s="10" t="s">
        <v>841</v>
      </c>
      <c r="B123" s="11">
        <v>1659352.0</v>
      </c>
      <c r="C123" s="8" t="s">
        <v>20</v>
      </c>
      <c r="D123" s="12" t="s">
        <v>842</v>
      </c>
      <c r="E123" s="10" t="s">
        <v>843</v>
      </c>
      <c r="F123" s="11">
        <v>1659352.0</v>
      </c>
      <c r="G123" s="10"/>
      <c r="H123" s="10" t="s">
        <v>844</v>
      </c>
      <c r="I123" s="10" t="s">
        <v>845</v>
      </c>
      <c r="J123" s="10" t="s">
        <v>846</v>
      </c>
      <c r="K123" s="10" t="s">
        <v>847</v>
      </c>
      <c r="L123" s="10" t="s">
        <v>846</v>
      </c>
      <c r="M123" s="11">
        <v>2020.0</v>
      </c>
      <c r="N123" s="10" t="s">
        <v>848</v>
      </c>
      <c r="O123" s="10" t="s">
        <v>848</v>
      </c>
      <c r="P123" s="11">
        <v>8731.0</v>
      </c>
      <c r="Q123" s="11">
        <v>2836.0</v>
      </c>
      <c r="R123" s="11">
        <v>15.0</v>
      </c>
      <c r="S123" s="10"/>
      <c r="T123" s="10"/>
      <c r="U123" s="10"/>
      <c r="V123" s="4"/>
      <c r="W123" s="4"/>
      <c r="X123" s="4"/>
      <c r="Y123" s="4"/>
    </row>
    <row r="124">
      <c r="A124" s="10" t="s">
        <v>849</v>
      </c>
      <c r="B124" s="11">
        <v>1830197.0</v>
      </c>
      <c r="C124" s="8" t="s">
        <v>749</v>
      </c>
      <c r="D124" s="12" t="s">
        <v>850</v>
      </c>
      <c r="E124" s="10" t="s">
        <v>851</v>
      </c>
      <c r="F124" s="11">
        <v>1830197.0</v>
      </c>
      <c r="G124" s="10"/>
      <c r="H124" s="10" t="s">
        <v>852</v>
      </c>
      <c r="I124" s="10" t="s">
        <v>853</v>
      </c>
      <c r="J124" s="10" t="s">
        <v>854</v>
      </c>
      <c r="K124" s="10" t="s">
        <v>854</v>
      </c>
      <c r="L124" s="10" t="s">
        <v>854</v>
      </c>
      <c r="M124" s="11">
        <v>2021.0</v>
      </c>
      <c r="N124" s="10" t="s">
        <v>855</v>
      </c>
      <c r="O124" s="10" t="s">
        <v>855</v>
      </c>
      <c r="P124" s="11">
        <v>6163.0</v>
      </c>
      <c r="Q124" s="11">
        <v>6162.0</v>
      </c>
      <c r="R124" s="11">
        <v>13.0</v>
      </c>
      <c r="S124" s="10"/>
      <c r="T124" s="10"/>
      <c r="U124" s="10"/>
      <c r="V124" s="4"/>
      <c r="W124" s="4"/>
      <c r="X124" s="4"/>
      <c r="Y124" s="4"/>
    </row>
    <row r="125">
      <c r="A125" s="10" t="s">
        <v>856</v>
      </c>
      <c r="B125" s="11">
        <v>1645070.0</v>
      </c>
      <c r="C125" s="8" t="s">
        <v>20</v>
      </c>
      <c r="D125" s="12" t="s">
        <v>857</v>
      </c>
      <c r="E125" s="10" t="s">
        <v>858</v>
      </c>
      <c r="F125" s="11">
        <v>1645070.0</v>
      </c>
      <c r="G125" s="10"/>
      <c r="H125" s="10" t="s">
        <v>859</v>
      </c>
      <c r="I125" s="10" t="s">
        <v>860</v>
      </c>
      <c r="J125" s="10" t="s">
        <v>349</v>
      </c>
      <c r="K125" s="10" t="s">
        <v>349</v>
      </c>
      <c r="L125" s="10" t="s">
        <v>349</v>
      </c>
      <c r="M125" s="11">
        <v>2021.0</v>
      </c>
      <c r="N125" s="10" t="s">
        <v>861</v>
      </c>
      <c r="O125" s="10" t="s">
        <v>861</v>
      </c>
      <c r="P125" s="11">
        <v>7374.0</v>
      </c>
      <c r="Q125" s="11">
        <v>7389.0</v>
      </c>
      <c r="R125" s="11">
        <v>23.0</v>
      </c>
      <c r="S125" s="10"/>
      <c r="T125" s="10"/>
      <c r="U125" s="10"/>
      <c r="V125" s="4"/>
      <c r="W125" s="4"/>
      <c r="X125" s="4"/>
      <c r="Y125" s="4"/>
    </row>
    <row r="126">
      <c r="A126" s="10" t="s">
        <v>862</v>
      </c>
      <c r="B126" s="11">
        <v>873198.0</v>
      </c>
      <c r="C126" s="8" t="s">
        <v>20</v>
      </c>
      <c r="D126" s="12" t="s">
        <v>863</v>
      </c>
      <c r="E126" s="10"/>
      <c r="F126" s="10"/>
      <c r="G126" s="11">
        <v>1802255.0</v>
      </c>
      <c r="H126" s="10" t="s">
        <v>864</v>
      </c>
      <c r="I126" s="10" t="s">
        <v>865</v>
      </c>
      <c r="J126" s="10" t="s">
        <v>866</v>
      </c>
      <c r="K126" s="10"/>
      <c r="L126" s="10" t="s">
        <v>866</v>
      </c>
      <c r="M126" s="11">
        <v>1996.0</v>
      </c>
      <c r="N126" s="10"/>
      <c r="O126" s="10"/>
      <c r="P126" s="11">
        <v>7372.0</v>
      </c>
      <c r="Q126" s="10"/>
      <c r="R126" s="11">
        <v>5.1</v>
      </c>
      <c r="S126" s="10"/>
      <c r="T126" s="10"/>
      <c r="U126" s="10"/>
      <c r="V126" s="4"/>
      <c r="W126" s="4"/>
      <c r="X126" s="4"/>
      <c r="Y126" s="4"/>
    </row>
    <row r="127">
      <c r="A127" s="10" t="s">
        <v>867</v>
      </c>
      <c r="B127" s="11">
        <v>1067701.0</v>
      </c>
      <c r="C127" s="8" t="s">
        <v>20</v>
      </c>
      <c r="D127" s="12" t="s">
        <v>868</v>
      </c>
      <c r="E127" s="10" t="s">
        <v>869</v>
      </c>
      <c r="F127" s="11">
        <v>1067701.0</v>
      </c>
      <c r="G127" s="11">
        <v>1067701.0</v>
      </c>
      <c r="H127" s="10" t="s">
        <v>870</v>
      </c>
      <c r="I127" s="10" t="s">
        <v>871</v>
      </c>
      <c r="J127" s="10" t="s">
        <v>872</v>
      </c>
      <c r="K127" s="10" t="s">
        <v>872</v>
      </c>
      <c r="L127" s="10" t="s">
        <v>872</v>
      </c>
      <c r="M127" s="11">
        <v>1997.0</v>
      </c>
      <c r="N127" s="10" t="s">
        <v>873</v>
      </c>
      <c r="O127" s="10" t="s">
        <v>873</v>
      </c>
      <c r="P127" s="11">
        <v>7359.0</v>
      </c>
      <c r="Q127" s="11">
        <v>7350.0</v>
      </c>
      <c r="R127" s="11">
        <v>13.5</v>
      </c>
      <c r="S127" s="10"/>
      <c r="T127" s="10"/>
      <c r="U127" s="10"/>
      <c r="V127" s="4"/>
      <c r="W127" s="4"/>
      <c r="X127" s="4"/>
      <c r="Y127" s="4"/>
    </row>
    <row r="128">
      <c r="A128" s="10" t="s">
        <v>874</v>
      </c>
      <c r="B128" s="11">
        <v>1337619.0</v>
      </c>
      <c r="C128" s="8" t="s">
        <v>749</v>
      </c>
      <c r="D128" s="12" t="s">
        <v>875</v>
      </c>
      <c r="E128" s="10" t="s">
        <v>876</v>
      </c>
      <c r="F128" s="11">
        <v>1337619.0</v>
      </c>
      <c r="G128" s="10"/>
      <c r="H128" s="10" t="s">
        <v>877</v>
      </c>
      <c r="I128" s="10" t="s">
        <v>878</v>
      </c>
      <c r="J128" s="10" t="s">
        <v>879</v>
      </c>
      <c r="K128" s="10" t="s">
        <v>879</v>
      </c>
      <c r="L128" s="10" t="s">
        <v>879</v>
      </c>
      <c r="M128" s="11">
        <v>2010.0</v>
      </c>
      <c r="N128" s="10" t="s">
        <v>880</v>
      </c>
      <c r="O128" s="10" t="s">
        <v>880</v>
      </c>
      <c r="P128" s="11">
        <v>7389.0</v>
      </c>
      <c r="Q128" s="11">
        <v>6282.0</v>
      </c>
      <c r="R128" s="11">
        <v>9.0</v>
      </c>
      <c r="S128" s="10"/>
      <c r="T128" s="10"/>
      <c r="U128" s="10"/>
      <c r="V128" s="4"/>
      <c r="W128" s="4"/>
      <c r="X128" s="4"/>
      <c r="Y128" s="4"/>
    </row>
    <row r="129">
      <c r="A129" s="10" t="s">
        <v>881</v>
      </c>
      <c r="B129" s="11">
        <v>1577916.0</v>
      </c>
      <c r="C129" s="8" t="s">
        <v>20</v>
      </c>
      <c r="D129" s="12" t="s">
        <v>882</v>
      </c>
      <c r="E129" s="10" t="s">
        <v>883</v>
      </c>
      <c r="F129" s="11">
        <v>1577916.0</v>
      </c>
      <c r="G129" s="11">
        <v>1577916.0</v>
      </c>
      <c r="H129" s="10" t="s">
        <v>884</v>
      </c>
      <c r="I129" s="10" t="s">
        <v>885</v>
      </c>
      <c r="J129" s="10" t="s">
        <v>886</v>
      </c>
      <c r="K129" s="10" t="s">
        <v>886</v>
      </c>
      <c r="L129" s="10" t="s">
        <v>886</v>
      </c>
      <c r="M129" s="11">
        <v>2013.0</v>
      </c>
      <c r="N129" s="10" t="s">
        <v>887</v>
      </c>
      <c r="O129" s="10" t="s">
        <v>887</v>
      </c>
      <c r="P129" s="11">
        <v>8742.0</v>
      </c>
      <c r="Q129" s="11">
        <v>8742.0</v>
      </c>
      <c r="R129" s="11">
        <v>27.0</v>
      </c>
      <c r="S129" s="10"/>
      <c r="T129" s="10"/>
      <c r="U129" s="10"/>
      <c r="V129" s="4"/>
      <c r="W129" s="4"/>
      <c r="X129" s="4"/>
      <c r="Y129" s="4"/>
    </row>
    <row r="130">
      <c r="A130" s="10" t="s">
        <v>888</v>
      </c>
      <c r="B130" s="11">
        <v>1760717.0</v>
      </c>
      <c r="C130" s="8" t="s">
        <v>20</v>
      </c>
      <c r="D130" s="12" t="s">
        <v>889</v>
      </c>
      <c r="E130" s="10" t="s">
        <v>890</v>
      </c>
      <c r="F130" s="11">
        <v>1760717.0</v>
      </c>
      <c r="G130" s="10"/>
      <c r="H130" s="10" t="s">
        <v>891</v>
      </c>
      <c r="I130" s="10" t="s">
        <v>892</v>
      </c>
      <c r="J130" s="10" t="s">
        <v>893</v>
      </c>
      <c r="K130" s="10" t="s">
        <v>893</v>
      </c>
      <c r="L130" s="10" t="s">
        <v>893</v>
      </c>
      <c r="M130" s="11">
        <v>2019.0</v>
      </c>
      <c r="N130" s="10" t="s">
        <v>894</v>
      </c>
      <c r="O130" s="10" t="s">
        <v>894</v>
      </c>
      <c r="P130" s="11">
        <v>7371.0</v>
      </c>
      <c r="Q130" s="11">
        <v>7372.0</v>
      </c>
      <c r="R130" s="11">
        <v>16.0</v>
      </c>
      <c r="S130" s="10"/>
      <c r="T130" s="10"/>
      <c r="U130" s="10"/>
      <c r="V130" s="4"/>
      <c r="W130" s="4"/>
      <c r="X130" s="4"/>
      <c r="Y130" s="4"/>
    </row>
    <row r="131">
      <c r="A131" s="10" t="s">
        <v>895</v>
      </c>
      <c r="B131" s="11">
        <v>1076016.0</v>
      </c>
      <c r="C131" s="8" t="s">
        <v>20</v>
      </c>
      <c r="D131" s="12" t="s">
        <v>896</v>
      </c>
      <c r="E131" s="10" t="s">
        <v>897</v>
      </c>
      <c r="F131" s="11">
        <v>1076016.0</v>
      </c>
      <c r="G131" s="10"/>
      <c r="H131" s="10" t="s">
        <v>898</v>
      </c>
      <c r="I131" s="10" t="s">
        <v>899</v>
      </c>
      <c r="J131" s="10"/>
      <c r="K131" s="10" t="s">
        <v>900</v>
      </c>
      <c r="L131" s="10"/>
      <c r="M131" s="11">
        <v>1999.0</v>
      </c>
      <c r="N131" s="10" t="s">
        <v>901</v>
      </c>
      <c r="O131" s="10" t="s">
        <v>901</v>
      </c>
      <c r="P131" s="11">
        <v>7372.0</v>
      </c>
      <c r="Q131" s="11">
        <v>7372.0</v>
      </c>
      <c r="R131" s="11">
        <v>14.0</v>
      </c>
      <c r="S131" s="10"/>
      <c r="T131" s="10"/>
      <c r="U131" s="10"/>
      <c r="V131" s="4"/>
      <c r="W131" s="4"/>
      <c r="X131" s="4"/>
      <c r="Y131" s="4"/>
    </row>
    <row r="132">
      <c r="A132" s="10" t="s">
        <v>902</v>
      </c>
      <c r="B132" s="11">
        <v>758540.0</v>
      </c>
      <c r="C132" s="8" t="s">
        <v>20</v>
      </c>
      <c r="D132" s="14" t="s">
        <v>903</v>
      </c>
      <c r="E132" s="10" t="s">
        <v>904</v>
      </c>
      <c r="F132" s="11">
        <v>758540.0</v>
      </c>
      <c r="G132" s="10"/>
      <c r="H132" s="10" t="s">
        <v>905</v>
      </c>
      <c r="I132" s="10" t="s">
        <v>906</v>
      </c>
      <c r="J132" s="10" t="s">
        <v>907</v>
      </c>
      <c r="K132" s="10" t="s">
        <v>908</v>
      </c>
      <c r="L132" s="10" t="s">
        <v>907</v>
      </c>
      <c r="M132" s="11">
        <v>1997.0</v>
      </c>
      <c r="N132" s="10" t="s">
        <v>909</v>
      </c>
      <c r="O132" s="10" t="s">
        <v>909</v>
      </c>
      <c r="P132" s="11">
        <v>7372.0</v>
      </c>
      <c r="Q132" s="11">
        <v>7372.0</v>
      </c>
      <c r="R132" s="11">
        <v>16.0</v>
      </c>
      <c r="S132" s="10"/>
      <c r="T132" s="10"/>
      <c r="U132" s="10"/>
      <c r="V132" s="4"/>
      <c r="W132" s="4"/>
      <c r="X132" s="4"/>
      <c r="Y132" s="4"/>
    </row>
    <row r="133">
      <c r="A133" s="10" t="s">
        <v>910</v>
      </c>
      <c r="B133" s="11">
        <v>1084609.0</v>
      </c>
      <c r="C133" s="8" t="s">
        <v>20</v>
      </c>
      <c r="D133" s="12" t="s">
        <v>911</v>
      </c>
      <c r="E133" s="10" t="s">
        <v>912</v>
      </c>
      <c r="F133" s="11">
        <v>1084609.0</v>
      </c>
      <c r="G133" s="10"/>
      <c r="H133" s="10" t="s">
        <v>913</v>
      </c>
      <c r="I133" s="10" t="s">
        <v>914</v>
      </c>
      <c r="J133" s="10" t="s">
        <v>915</v>
      </c>
      <c r="K133" s="10" t="s">
        <v>916</v>
      </c>
      <c r="L133" s="10" t="s">
        <v>915</v>
      </c>
      <c r="M133" s="11">
        <v>1999.0</v>
      </c>
      <c r="N133" s="10" t="s">
        <v>917</v>
      </c>
      <c r="O133" s="10" t="s">
        <v>917</v>
      </c>
      <c r="P133" s="11">
        <v>7375.0</v>
      </c>
      <c r="Q133" s="11">
        <v>7310.0</v>
      </c>
      <c r="R133" s="11">
        <v>10.0</v>
      </c>
      <c r="S133" s="10"/>
      <c r="T133" s="10"/>
      <c r="U133" s="10"/>
      <c r="V133" s="4"/>
      <c r="W133" s="4"/>
      <c r="X133" s="4"/>
      <c r="Y133" s="4"/>
    </row>
    <row r="134">
      <c r="A134" s="10" t="s">
        <v>918</v>
      </c>
      <c r="B134" s="11">
        <v>1089143.0</v>
      </c>
      <c r="C134" s="8" t="s">
        <v>762</v>
      </c>
      <c r="D134" s="12" t="s">
        <v>919</v>
      </c>
      <c r="E134" s="10" t="s">
        <v>920</v>
      </c>
      <c r="F134" s="11">
        <v>1089143.0</v>
      </c>
      <c r="G134" s="10"/>
      <c r="H134" s="10" t="s">
        <v>921</v>
      </c>
      <c r="I134" s="10" t="s">
        <v>922</v>
      </c>
      <c r="J134" s="10" t="s">
        <v>923</v>
      </c>
      <c r="K134" s="10" t="s">
        <v>923</v>
      </c>
      <c r="L134" s="10" t="s">
        <v>923</v>
      </c>
      <c r="M134" s="11">
        <v>1999.0</v>
      </c>
      <c r="N134" s="10" t="s">
        <v>924</v>
      </c>
      <c r="O134" s="10" t="s">
        <v>924</v>
      </c>
      <c r="P134" s="11">
        <v>7389.0</v>
      </c>
      <c r="Q134" s="11">
        <v>7389.0</v>
      </c>
      <c r="R134" s="11">
        <v>6.0</v>
      </c>
      <c r="S134" s="10"/>
      <c r="T134" s="10"/>
      <c r="U134" s="10"/>
      <c r="V134" s="4"/>
      <c r="W134" s="4"/>
      <c r="X134" s="4"/>
      <c r="Y134" s="4"/>
    </row>
    <row r="135">
      <c r="A135" s="10" t="s">
        <v>925</v>
      </c>
      <c r="B135" s="11">
        <v>1097002.0</v>
      </c>
      <c r="C135" s="8" t="s">
        <v>20</v>
      </c>
      <c r="D135" s="12" t="s">
        <v>926</v>
      </c>
      <c r="E135" s="10" t="s">
        <v>927</v>
      </c>
      <c r="F135" s="11">
        <v>1097002.0</v>
      </c>
      <c r="G135" s="11">
        <v>1805385.0</v>
      </c>
      <c r="H135" s="10" t="s">
        <v>928</v>
      </c>
      <c r="I135" s="10" t="s">
        <v>929</v>
      </c>
      <c r="J135" s="10" t="s">
        <v>930</v>
      </c>
      <c r="K135" s="10" t="s">
        <v>931</v>
      </c>
      <c r="L135" s="10" t="s">
        <v>930</v>
      </c>
      <c r="M135" s="11">
        <v>2000.0</v>
      </c>
      <c r="N135" s="10" t="s">
        <v>932</v>
      </c>
      <c r="O135" s="10" t="s">
        <v>932</v>
      </c>
      <c r="P135" s="11">
        <v>7373.0</v>
      </c>
      <c r="Q135" s="11">
        <v>7372.0</v>
      </c>
      <c r="R135" s="11">
        <v>9.0</v>
      </c>
      <c r="S135" s="10"/>
      <c r="T135" s="10"/>
      <c r="U135" s="10"/>
      <c r="V135" s="4"/>
      <c r="W135" s="4"/>
      <c r="X135" s="4"/>
      <c r="Y135" s="4"/>
    </row>
    <row r="136">
      <c r="A136" s="10" t="s">
        <v>933</v>
      </c>
      <c r="B136" s="11">
        <v>1022509.0</v>
      </c>
      <c r="C136" s="8" t="s">
        <v>20</v>
      </c>
      <c r="D136" s="12" t="s">
        <v>934</v>
      </c>
      <c r="E136" s="10" t="s">
        <v>935</v>
      </c>
      <c r="F136" s="11">
        <v>1022509.0</v>
      </c>
      <c r="G136" s="10"/>
      <c r="H136" s="10" t="s">
        <v>936</v>
      </c>
      <c r="I136" s="10" t="s">
        <v>937</v>
      </c>
      <c r="J136" s="10" t="s">
        <v>938</v>
      </c>
      <c r="K136" s="10" t="s">
        <v>938</v>
      </c>
      <c r="L136" s="10" t="s">
        <v>938</v>
      </c>
      <c r="M136" s="11">
        <v>1999.0</v>
      </c>
      <c r="N136" s="10" t="s">
        <v>939</v>
      </c>
      <c r="O136" s="10" t="s">
        <v>939</v>
      </c>
      <c r="P136" s="11">
        <v>7372.0</v>
      </c>
      <c r="Q136" s="11">
        <v>7372.0</v>
      </c>
      <c r="R136" s="11">
        <v>12.0</v>
      </c>
      <c r="S136" s="10"/>
      <c r="T136" s="10"/>
      <c r="U136" s="10"/>
      <c r="V136" s="4"/>
      <c r="W136" s="4"/>
      <c r="X136" s="4"/>
      <c r="Y136" s="4"/>
    </row>
    <row r="137">
      <c r="A137" s="10" t="s">
        <v>940</v>
      </c>
      <c r="B137" s="11">
        <v>1479426.0</v>
      </c>
      <c r="C137" s="8" t="s">
        <v>20</v>
      </c>
      <c r="D137" s="12" t="s">
        <v>941</v>
      </c>
      <c r="E137" s="10" t="s">
        <v>942</v>
      </c>
      <c r="F137" s="11">
        <v>1479426.0</v>
      </c>
      <c r="G137" s="10"/>
      <c r="H137" s="10" t="s">
        <v>943</v>
      </c>
      <c r="I137" s="10" t="s">
        <v>944</v>
      </c>
      <c r="J137" s="10" t="s">
        <v>945</v>
      </c>
      <c r="K137" s="10" t="s">
        <v>946</v>
      </c>
      <c r="L137" s="10"/>
      <c r="M137" s="11">
        <v>2010.0</v>
      </c>
      <c r="N137" s="10" t="s">
        <v>947</v>
      </c>
      <c r="O137" s="10" t="s">
        <v>947</v>
      </c>
      <c r="P137" s="11">
        <v>7373.0</v>
      </c>
      <c r="Q137" s="11">
        <v>7373.0</v>
      </c>
      <c r="R137" s="11">
        <v>15.0</v>
      </c>
      <c r="S137" s="10"/>
      <c r="T137" s="10"/>
      <c r="U137" s="10"/>
      <c r="V137" s="4"/>
      <c r="W137" s="4"/>
      <c r="X137" s="4"/>
      <c r="Y137" s="4"/>
    </row>
    <row r="138">
      <c r="A138" s="10" t="s">
        <v>948</v>
      </c>
      <c r="B138" s="11">
        <v>1066026.0</v>
      </c>
      <c r="C138" s="8" t="s">
        <v>762</v>
      </c>
      <c r="D138" s="12" t="s">
        <v>949</v>
      </c>
      <c r="E138" s="10" t="s">
        <v>950</v>
      </c>
      <c r="F138" s="11">
        <v>1066026.0</v>
      </c>
      <c r="G138" s="10"/>
      <c r="H138" s="10" t="s">
        <v>951</v>
      </c>
      <c r="I138" s="10" t="s">
        <v>952</v>
      </c>
      <c r="J138" s="10" t="s">
        <v>953</v>
      </c>
      <c r="K138" s="10" t="s">
        <v>953</v>
      </c>
      <c r="L138" s="10" t="s">
        <v>953</v>
      </c>
      <c r="M138" s="11">
        <v>1998.0</v>
      </c>
      <c r="N138" s="10" t="s">
        <v>954</v>
      </c>
      <c r="O138" s="10" t="s">
        <v>954</v>
      </c>
      <c r="P138" s="11">
        <v>7372.0</v>
      </c>
      <c r="Q138" s="11">
        <v>7372.0</v>
      </c>
      <c r="R138" s="11">
        <v>12.5</v>
      </c>
      <c r="S138" s="10"/>
      <c r="T138" s="10"/>
      <c r="U138" s="10"/>
      <c r="V138" s="4"/>
      <c r="W138" s="4"/>
      <c r="X138" s="4"/>
      <c r="Y138" s="4"/>
    </row>
    <row r="139">
      <c r="A139" s="10" t="s">
        <v>955</v>
      </c>
      <c r="B139" s="11">
        <v>1036629.0</v>
      </c>
      <c r="C139" s="8" t="s">
        <v>20</v>
      </c>
      <c r="D139" s="12" t="s">
        <v>956</v>
      </c>
      <c r="E139" s="10"/>
      <c r="F139" s="10"/>
      <c r="G139" s="10"/>
      <c r="H139" s="10" t="s">
        <v>957</v>
      </c>
      <c r="I139" s="10" t="s">
        <v>958</v>
      </c>
      <c r="J139" s="10" t="s">
        <v>959</v>
      </c>
      <c r="K139" s="10"/>
      <c r="L139" s="10" t="s">
        <v>959</v>
      </c>
      <c r="M139" s="11">
        <v>1997.0</v>
      </c>
      <c r="N139" s="10"/>
      <c r="O139" s="10"/>
      <c r="P139" s="11">
        <v>8731.0</v>
      </c>
      <c r="Q139" s="10"/>
      <c r="R139" s="11">
        <v>15.0</v>
      </c>
      <c r="S139" s="10"/>
      <c r="T139" s="10"/>
      <c r="U139" s="10"/>
      <c r="V139" s="4"/>
      <c r="W139" s="4"/>
      <c r="X139" s="4"/>
      <c r="Y139" s="4"/>
    </row>
    <row r="140">
      <c r="A140" s="10" t="s">
        <v>960</v>
      </c>
      <c r="B140" s="11">
        <v>1110611.0</v>
      </c>
      <c r="C140" s="8" t="s">
        <v>20</v>
      </c>
      <c r="D140" s="12" t="s">
        <v>961</v>
      </c>
      <c r="E140" s="10" t="s">
        <v>962</v>
      </c>
      <c r="F140" s="11">
        <v>1110611.0</v>
      </c>
      <c r="G140" s="11">
        <v>1110611.0</v>
      </c>
      <c r="H140" s="10" t="s">
        <v>963</v>
      </c>
      <c r="I140" s="10" t="s">
        <v>964</v>
      </c>
      <c r="J140" s="10" t="s">
        <v>965</v>
      </c>
      <c r="K140" s="10" t="s">
        <v>965</v>
      </c>
      <c r="L140" s="10" t="s">
        <v>965</v>
      </c>
      <c r="M140" s="11">
        <v>2021.0</v>
      </c>
      <c r="N140" s="10" t="s">
        <v>966</v>
      </c>
      <c r="O140" s="10" t="s">
        <v>966</v>
      </c>
      <c r="P140" s="11">
        <v>7372.0</v>
      </c>
      <c r="Q140" s="11">
        <v>7370.0</v>
      </c>
      <c r="R140" s="11">
        <v>50.0</v>
      </c>
      <c r="S140" s="10"/>
      <c r="T140" s="10"/>
      <c r="U140" s="10"/>
      <c r="V140" s="4"/>
      <c r="W140" s="4"/>
      <c r="X140" s="4"/>
      <c r="Y140" s="4"/>
    </row>
    <row r="141">
      <c r="A141" s="10" t="s">
        <v>967</v>
      </c>
      <c r="B141" s="11">
        <v>1414374.0</v>
      </c>
      <c r="C141" s="8" t="s">
        <v>762</v>
      </c>
      <c r="D141" s="12" t="s">
        <v>968</v>
      </c>
      <c r="E141" s="10" t="s">
        <v>969</v>
      </c>
      <c r="F141" s="11">
        <v>1414374.0</v>
      </c>
      <c r="G141" s="10"/>
      <c r="H141" s="10" t="s">
        <v>970</v>
      </c>
      <c r="I141" s="10" t="s">
        <v>971</v>
      </c>
      <c r="J141" s="10" t="s">
        <v>972</v>
      </c>
      <c r="K141" s="10" t="s">
        <v>973</v>
      </c>
      <c r="L141" s="10" t="s">
        <v>972</v>
      </c>
      <c r="M141" s="11">
        <v>2016.0</v>
      </c>
      <c r="N141" s="10"/>
      <c r="O141" s="10"/>
      <c r="P141" s="11">
        <v>6021.0</v>
      </c>
      <c r="Q141" s="11">
        <v>6020.0</v>
      </c>
      <c r="R141" s="11">
        <v>34.0</v>
      </c>
      <c r="S141" s="10"/>
      <c r="T141" s="10"/>
      <c r="U141" s="10"/>
      <c r="V141" s="4"/>
      <c r="W141" s="4"/>
      <c r="X141" s="4"/>
      <c r="Y141" s="4"/>
    </row>
    <row r="142">
      <c r="A142" s="10" t="s">
        <v>974</v>
      </c>
      <c r="B142" s="11">
        <v>1010136.0</v>
      </c>
      <c r="C142" s="8" t="s">
        <v>20</v>
      </c>
      <c r="D142" s="12" t="s">
        <v>975</v>
      </c>
      <c r="E142" s="10" t="s">
        <v>976</v>
      </c>
      <c r="F142" s="11">
        <v>1010136.0</v>
      </c>
      <c r="G142" s="10"/>
      <c r="H142" s="10" t="s">
        <v>977</v>
      </c>
      <c r="I142" s="10" t="s">
        <v>978</v>
      </c>
      <c r="J142" s="10" t="s">
        <v>979</v>
      </c>
      <c r="K142" s="10" t="s">
        <v>979</v>
      </c>
      <c r="L142" s="10" t="s">
        <v>979</v>
      </c>
      <c r="M142" s="11">
        <v>1996.0</v>
      </c>
      <c r="N142" s="10" t="s">
        <v>980</v>
      </c>
      <c r="O142" s="10" t="s">
        <v>980</v>
      </c>
      <c r="P142" s="11">
        <v>7373.0</v>
      </c>
      <c r="Q142" s="11">
        <v>7373.0</v>
      </c>
      <c r="R142" s="11">
        <v>5.75</v>
      </c>
      <c r="S142" s="10"/>
      <c r="T142" s="10"/>
      <c r="U142" s="10"/>
      <c r="V142" s="4"/>
      <c r="W142" s="4"/>
      <c r="X142" s="4"/>
      <c r="Y142" s="4"/>
    </row>
    <row r="143">
      <c r="A143" s="10" t="s">
        <v>981</v>
      </c>
      <c r="B143" s="11">
        <v>2012383.0</v>
      </c>
      <c r="C143" s="8" t="s">
        <v>749</v>
      </c>
      <c r="D143" s="12" t="s">
        <v>982</v>
      </c>
      <c r="E143" s="10"/>
      <c r="F143" s="10"/>
      <c r="G143" s="11">
        <v>2012383.0</v>
      </c>
      <c r="H143" s="10" t="s">
        <v>983</v>
      </c>
      <c r="I143" s="10" t="s">
        <v>984</v>
      </c>
      <c r="J143" s="10" t="s">
        <v>985</v>
      </c>
      <c r="K143" s="10"/>
      <c r="L143" s="10" t="s">
        <v>985</v>
      </c>
      <c r="M143" s="11">
        <v>1999.0</v>
      </c>
      <c r="N143" s="10"/>
      <c r="O143" s="10"/>
      <c r="P143" s="11">
        <v>6289.0</v>
      </c>
      <c r="Q143" s="10"/>
      <c r="R143" s="11">
        <v>14.0</v>
      </c>
      <c r="S143" s="10"/>
      <c r="T143" s="10"/>
      <c r="U143" s="10"/>
      <c r="V143" s="4"/>
      <c r="W143" s="4"/>
      <c r="X143" s="4"/>
      <c r="Y143" s="4"/>
    </row>
    <row r="144">
      <c r="A144" s="10" t="s">
        <v>986</v>
      </c>
      <c r="B144" s="11">
        <v>1000782.0</v>
      </c>
      <c r="C144" s="8" t="s">
        <v>20</v>
      </c>
      <c r="D144" s="12" t="s">
        <v>987</v>
      </c>
      <c r="E144" s="10" t="s">
        <v>988</v>
      </c>
      <c r="F144" s="11">
        <v>1000782.0</v>
      </c>
      <c r="G144" s="10"/>
      <c r="H144" s="10" t="s">
        <v>989</v>
      </c>
      <c r="I144" s="10" t="s">
        <v>990</v>
      </c>
      <c r="J144" s="10" t="s">
        <v>991</v>
      </c>
      <c r="K144" s="10" t="s">
        <v>991</v>
      </c>
      <c r="L144" s="10" t="s">
        <v>991</v>
      </c>
      <c r="M144" s="11">
        <v>1995.0</v>
      </c>
      <c r="N144" s="10" t="s">
        <v>992</v>
      </c>
      <c r="O144" s="10" t="s">
        <v>992</v>
      </c>
      <c r="P144" s="11">
        <v>7372.0</v>
      </c>
      <c r="Q144" s="11">
        <v>7372.0</v>
      </c>
      <c r="R144" s="11">
        <v>13.0</v>
      </c>
      <c r="S144" s="10"/>
      <c r="T144" s="10"/>
      <c r="U144" s="10"/>
      <c r="V144" s="4"/>
      <c r="W144" s="4"/>
      <c r="X144" s="4"/>
      <c r="Y144" s="4"/>
    </row>
    <row r="145">
      <c r="A145" s="10" t="s">
        <v>993</v>
      </c>
      <c r="B145" s="11">
        <v>1568651.0</v>
      </c>
      <c r="C145" s="8" t="s">
        <v>762</v>
      </c>
      <c r="D145" s="12" t="s">
        <v>994</v>
      </c>
      <c r="E145" s="10" t="s">
        <v>995</v>
      </c>
      <c r="F145" s="11">
        <v>1568651.0</v>
      </c>
      <c r="G145" s="11">
        <v>1568651.0</v>
      </c>
      <c r="H145" s="10" t="s">
        <v>996</v>
      </c>
      <c r="I145" s="10" t="s">
        <v>997</v>
      </c>
      <c r="J145" s="10" t="s">
        <v>998</v>
      </c>
      <c r="K145" s="10" t="s">
        <v>998</v>
      </c>
      <c r="L145" s="10" t="s">
        <v>998</v>
      </c>
      <c r="M145" s="11">
        <v>2021.0</v>
      </c>
      <c r="N145" s="10" t="s">
        <v>999</v>
      </c>
      <c r="O145" s="10" t="s">
        <v>999</v>
      </c>
      <c r="P145" s="11">
        <v>6324.0</v>
      </c>
      <c r="Q145" s="11">
        <v>6321.0</v>
      </c>
      <c r="R145" s="11">
        <v>39.0</v>
      </c>
      <c r="S145" s="10"/>
      <c r="T145" s="10"/>
      <c r="U145" s="10"/>
      <c r="V145" s="4"/>
      <c r="W145" s="4"/>
      <c r="X145" s="4"/>
      <c r="Y145" s="4"/>
    </row>
    <row r="146">
      <c r="A146" s="10" t="s">
        <v>1000</v>
      </c>
      <c r="B146" s="11">
        <v>1005882.0</v>
      </c>
      <c r="C146" s="8" t="s">
        <v>20</v>
      </c>
      <c r="D146" s="15" t="s">
        <v>1001</v>
      </c>
      <c r="E146" s="10" t="s">
        <v>1002</v>
      </c>
      <c r="F146" s="11">
        <v>1005882.0</v>
      </c>
      <c r="G146" s="10"/>
      <c r="H146" s="10" t="s">
        <v>1003</v>
      </c>
      <c r="I146" s="10" t="s">
        <v>1004</v>
      </c>
      <c r="J146" s="10" t="s">
        <v>1005</v>
      </c>
      <c r="K146" s="10" t="s">
        <v>1005</v>
      </c>
      <c r="L146" s="10" t="s">
        <v>1005</v>
      </c>
      <c r="M146" s="11">
        <v>1996.0</v>
      </c>
      <c r="N146" s="10" t="s">
        <v>1006</v>
      </c>
      <c r="O146" s="10" t="s">
        <v>1006</v>
      </c>
      <c r="P146" s="11">
        <v>7371.0</v>
      </c>
      <c r="Q146" s="11">
        <v>7371.0</v>
      </c>
      <c r="R146" s="11">
        <v>12.0</v>
      </c>
      <c r="S146" s="10"/>
      <c r="T146" s="10"/>
      <c r="U146" s="10"/>
      <c r="V146" s="4"/>
      <c r="W146" s="4"/>
      <c r="X146" s="4"/>
      <c r="Y146" s="4"/>
    </row>
    <row r="147">
      <c r="A147" s="10" t="s">
        <v>1007</v>
      </c>
      <c r="B147" s="11">
        <v>1292426.0</v>
      </c>
      <c r="C147" s="8" t="s">
        <v>762</v>
      </c>
      <c r="D147" s="12" t="s">
        <v>1008</v>
      </c>
      <c r="E147" s="10" t="s">
        <v>1009</v>
      </c>
      <c r="F147" s="11">
        <v>1292426.0</v>
      </c>
      <c r="G147" s="10"/>
      <c r="H147" s="10" t="s">
        <v>1010</v>
      </c>
      <c r="I147" s="10" t="s">
        <v>1011</v>
      </c>
      <c r="J147" s="10" t="s">
        <v>1012</v>
      </c>
      <c r="K147" s="10" t="s">
        <v>1012</v>
      </c>
      <c r="L147" s="10" t="s">
        <v>1012</v>
      </c>
      <c r="M147" s="11">
        <v>2005.0</v>
      </c>
      <c r="N147" s="10" t="s">
        <v>1013</v>
      </c>
      <c r="O147" s="10" t="s">
        <v>1013</v>
      </c>
      <c r="P147" s="11">
        <v>6211.0</v>
      </c>
      <c r="Q147" s="11">
        <v>6211.0</v>
      </c>
      <c r="R147" s="11">
        <v>21.0</v>
      </c>
      <c r="S147" s="10"/>
      <c r="T147" s="10"/>
      <c r="U147" s="10"/>
      <c r="V147" s="4"/>
      <c r="W147" s="4"/>
      <c r="X147" s="4"/>
      <c r="Y147" s="4"/>
    </row>
    <row r="148">
      <c r="A148" s="10" t="s">
        <v>1014</v>
      </c>
      <c r="B148" s="11">
        <v>1026819.0</v>
      </c>
      <c r="C148" s="8" t="s">
        <v>20</v>
      </c>
      <c r="D148" s="12" t="s">
        <v>1015</v>
      </c>
      <c r="E148" s="10"/>
      <c r="F148" s="10"/>
      <c r="G148" s="10"/>
      <c r="H148" s="10" t="s">
        <v>1016</v>
      </c>
      <c r="I148" s="10" t="s">
        <v>1017</v>
      </c>
      <c r="J148" s="10" t="s">
        <v>1018</v>
      </c>
      <c r="K148" s="10"/>
      <c r="L148" s="10" t="s">
        <v>1018</v>
      </c>
      <c r="M148" s="11">
        <v>1998.0</v>
      </c>
      <c r="N148" s="10"/>
      <c r="O148" s="10"/>
      <c r="P148" s="11">
        <v>7375.0</v>
      </c>
      <c r="Q148" s="10"/>
      <c r="R148" s="11">
        <v>13.0</v>
      </c>
      <c r="S148" s="10"/>
      <c r="T148" s="10"/>
      <c r="U148" s="10"/>
      <c r="V148" s="4"/>
      <c r="W148" s="4"/>
      <c r="X148" s="4"/>
      <c r="Y148" s="4"/>
    </row>
    <row r="149">
      <c r="A149" s="10" t="s">
        <v>1019</v>
      </c>
      <c r="B149" s="11">
        <v>1736035.0</v>
      </c>
      <c r="C149" s="8" t="s">
        <v>20</v>
      </c>
      <c r="D149" s="12" t="s">
        <v>1020</v>
      </c>
      <c r="E149" s="10" t="s">
        <v>1021</v>
      </c>
      <c r="F149" s="11">
        <v>1736035.0</v>
      </c>
      <c r="G149" s="11">
        <v>1736035.0</v>
      </c>
      <c r="H149" s="10" t="s">
        <v>1022</v>
      </c>
      <c r="I149" s="10" t="s">
        <v>1023</v>
      </c>
      <c r="J149" s="10" t="s">
        <v>1024</v>
      </c>
      <c r="K149" s="10" t="s">
        <v>1024</v>
      </c>
      <c r="L149" s="10" t="s">
        <v>1024</v>
      </c>
      <c r="M149" s="11">
        <v>2021.0</v>
      </c>
      <c r="N149" s="10" t="s">
        <v>1025</v>
      </c>
      <c r="O149" s="10" t="s">
        <v>1025</v>
      </c>
      <c r="P149" s="11">
        <v>6733.0</v>
      </c>
      <c r="Q149" s="11">
        <v>6797.0</v>
      </c>
      <c r="R149" s="11">
        <v>26.15</v>
      </c>
      <c r="S149" s="10"/>
      <c r="T149" s="10"/>
      <c r="U149" s="10"/>
      <c r="V149" s="4"/>
      <c r="W149" s="4"/>
      <c r="X149" s="4"/>
      <c r="Y149" s="4"/>
    </row>
    <row r="150">
      <c r="A150" s="10" t="s">
        <v>1026</v>
      </c>
      <c r="B150" s="11">
        <v>1058177.0</v>
      </c>
      <c r="C150" s="8" t="s">
        <v>20</v>
      </c>
      <c r="D150" s="12" t="s">
        <v>1027</v>
      </c>
      <c r="E150" s="10" t="s">
        <v>1028</v>
      </c>
      <c r="F150" s="11">
        <v>1058177.0</v>
      </c>
      <c r="G150" s="10"/>
      <c r="H150" s="10" t="s">
        <v>1029</v>
      </c>
      <c r="I150" s="10" t="s">
        <v>1030</v>
      </c>
      <c r="J150" s="10" t="s">
        <v>1031</v>
      </c>
      <c r="K150" s="10" t="s">
        <v>1031</v>
      </c>
      <c r="L150" s="10" t="s">
        <v>1031</v>
      </c>
      <c r="M150" s="11">
        <v>2000.0</v>
      </c>
      <c r="N150" s="10" t="s">
        <v>1032</v>
      </c>
      <c r="O150" s="10" t="s">
        <v>1032</v>
      </c>
      <c r="P150" s="11">
        <v>8741.0</v>
      </c>
      <c r="Q150" s="11">
        <v>7372.0</v>
      </c>
      <c r="R150" s="11">
        <v>10.0</v>
      </c>
      <c r="S150" s="10"/>
      <c r="T150" s="10"/>
      <c r="U150" s="10"/>
      <c r="V150" s="4"/>
      <c r="W150" s="4"/>
      <c r="X150" s="4"/>
      <c r="Y150" s="4"/>
    </row>
    <row r="151">
      <c r="A151" s="10" t="s">
        <v>1033</v>
      </c>
      <c r="B151" s="11">
        <v>894172.0</v>
      </c>
      <c r="C151" s="8" t="s">
        <v>20</v>
      </c>
      <c r="D151" s="12" t="s">
        <v>281</v>
      </c>
      <c r="E151" s="10" t="s">
        <v>1034</v>
      </c>
      <c r="F151" s="11">
        <v>894172.0</v>
      </c>
      <c r="G151" s="10"/>
      <c r="H151" s="10" t="s">
        <v>1035</v>
      </c>
      <c r="I151" s="10" t="s">
        <v>1036</v>
      </c>
      <c r="J151" s="10" t="s">
        <v>1037</v>
      </c>
      <c r="K151" s="10" t="s">
        <v>1037</v>
      </c>
      <c r="L151" s="10" t="s">
        <v>1037</v>
      </c>
      <c r="M151" s="11">
        <v>1997.0</v>
      </c>
      <c r="N151" s="10" t="s">
        <v>1038</v>
      </c>
      <c r="O151" s="10" t="s">
        <v>1038</v>
      </c>
      <c r="P151" s="11">
        <v>6159.0</v>
      </c>
      <c r="Q151" s="11">
        <v>6020.0</v>
      </c>
      <c r="R151" s="11">
        <v>15.5</v>
      </c>
      <c r="S151" s="10"/>
      <c r="T151" s="10"/>
      <c r="U151" s="10"/>
      <c r="V151" s="4"/>
      <c r="W151" s="4"/>
      <c r="X151" s="4"/>
      <c r="Y151" s="4"/>
    </row>
    <row r="152">
      <c r="A152" s="10" t="s">
        <v>1039</v>
      </c>
      <c r="B152" s="11">
        <v>1619954.0</v>
      </c>
      <c r="C152" s="8" t="s">
        <v>20</v>
      </c>
      <c r="D152" s="12" t="s">
        <v>1040</v>
      </c>
      <c r="E152" s="10" t="s">
        <v>1041</v>
      </c>
      <c r="F152" s="11">
        <v>1619954.0</v>
      </c>
      <c r="G152" s="10"/>
      <c r="H152" s="10" t="s">
        <v>1042</v>
      </c>
      <c r="I152" s="10" t="s">
        <v>1043</v>
      </c>
      <c r="J152" s="10" t="s">
        <v>1044</v>
      </c>
      <c r="K152" s="10" t="s">
        <v>1045</v>
      </c>
      <c r="L152" s="10" t="s">
        <v>1044</v>
      </c>
      <c r="M152" s="11">
        <v>2015.0</v>
      </c>
      <c r="N152" s="10" t="s">
        <v>1046</v>
      </c>
      <c r="O152" s="10" t="s">
        <v>1046</v>
      </c>
      <c r="P152" s="11">
        <v>7374.0</v>
      </c>
      <c r="Q152" s="11">
        <v>7370.0</v>
      </c>
      <c r="R152" s="11">
        <v>27.0</v>
      </c>
      <c r="S152" s="10"/>
      <c r="T152" s="10"/>
      <c r="U152" s="10"/>
      <c r="V152" s="4"/>
      <c r="W152" s="4"/>
      <c r="X152" s="4"/>
      <c r="Y152" s="4"/>
    </row>
    <row r="153">
      <c r="A153" s="10" t="s">
        <v>1047</v>
      </c>
      <c r="B153" s="11">
        <v>948034.0</v>
      </c>
      <c r="C153" s="8" t="s">
        <v>749</v>
      </c>
      <c r="D153" s="12" t="s">
        <v>1048</v>
      </c>
      <c r="E153" s="10" t="s">
        <v>1049</v>
      </c>
      <c r="F153" s="11">
        <v>948034.0</v>
      </c>
      <c r="G153" s="10"/>
      <c r="H153" s="10" t="s">
        <v>1050</v>
      </c>
      <c r="I153" s="10" t="s">
        <v>1051</v>
      </c>
      <c r="J153" s="10" t="s">
        <v>1052</v>
      </c>
      <c r="K153" s="10" t="s">
        <v>1052</v>
      </c>
      <c r="L153" s="10" t="s">
        <v>1052</v>
      </c>
      <c r="M153" s="11">
        <v>1995.0</v>
      </c>
      <c r="N153" s="10" t="s">
        <v>1053</v>
      </c>
      <c r="O153" s="10" t="s">
        <v>1053</v>
      </c>
      <c r="P153" s="11">
        <v>6141.0</v>
      </c>
      <c r="Q153" s="11">
        <v>6153.0</v>
      </c>
      <c r="R153" s="11">
        <v>11.0</v>
      </c>
      <c r="S153" s="10"/>
      <c r="T153" s="10"/>
      <c r="U153" s="10"/>
      <c r="V153" s="4"/>
      <c r="W153" s="4"/>
      <c r="X153" s="4"/>
      <c r="Y153" s="4"/>
    </row>
    <row r="154">
      <c r="A154" s="10" t="s">
        <v>1054</v>
      </c>
      <c r="B154" s="11">
        <v>922597.0</v>
      </c>
      <c r="C154" s="8" t="s">
        <v>20</v>
      </c>
      <c r="D154" s="15" t="s">
        <v>1001</v>
      </c>
      <c r="E154" s="10" t="s">
        <v>1055</v>
      </c>
      <c r="F154" s="11">
        <v>922597.0</v>
      </c>
      <c r="G154" s="10"/>
      <c r="H154" s="10" t="s">
        <v>1056</v>
      </c>
      <c r="I154" s="10" t="s">
        <v>1057</v>
      </c>
      <c r="J154" s="10" t="s">
        <v>1058</v>
      </c>
      <c r="K154" s="10" t="s">
        <v>1058</v>
      </c>
      <c r="L154" s="10" t="s">
        <v>1058</v>
      </c>
      <c r="M154" s="11">
        <v>1994.0</v>
      </c>
      <c r="N154" s="10"/>
      <c r="O154" s="10"/>
      <c r="P154" s="11">
        <v>6351.0</v>
      </c>
      <c r="Q154" s="11">
        <v>6351.0</v>
      </c>
      <c r="R154" s="11">
        <v>5.0</v>
      </c>
      <c r="S154" s="10"/>
      <c r="T154" s="10"/>
      <c r="U154" s="10"/>
      <c r="V154" s="4"/>
      <c r="W154" s="4"/>
      <c r="X154" s="4"/>
      <c r="Y154" s="4"/>
    </row>
    <row r="155">
      <c r="A155" s="10" t="s">
        <v>1059</v>
      </c>
      <c r="B155" s="11">
        <v>1037330.0</v>
      </c>
      <c r="C155" s="8" t="s">
        <v>20</v>
      </c>
      <c r="D155" s="12" t="s">
        <v>1060</v>
      </c>
      <c r="E155" s="10" t="s">
        <v>1061</v>
      </c>
      <c r="F155" s="11">
        <v>1037330.0</v>
      </c>
      <c r="G155" s="10"/>
      <c r="H155" s="10" t="s">
        <v>1062</v>
      </c>
      <c r="I155" s="10" t="s">
        <v>1063</v>
      </c>
      <c r="J155" s="10" t="s">
        <v>1064</v>
      </c>
      <c r="K155" s="10" t="s">
        <v>1065</v>
      </c>
      <c r="L155" s="10" t="s">
        <v>1064</v>
      </c>
      <c r="M155" s="11">
        <v>1998.0</v>
      </c>
      <c r="N155" s="10" t="s">
        <v>1066</v>
      </c>
      <c r="O155" s="10" t="s">
        <v>1066</v>
      </c>
      <c r="P155" s="11">
        <v>7373.0</v>
      </c>
      <c r="Q155" s="11">
        <v>7373.0</v>
      </c>
      <c r="R155" s="11">
        <v>10.0</v>
      </c>
      <c r="S155" s="10"/>
      <c r="T155" s="10"/>
      <c r="U155" s="10"/>
      <c r="V155" s="4"/>
      <c r="W155" s="4"/>
      <c r="X155" s="4"/>
      <c r="Y155" s="4"/>
    </row>
    <row r="156">
      <c r="A156" s="10" t="s">
        <v>1067</v>
      </c>
      <c r="B156" s="11">
        <v>892537.0</v>
      </c>
      <c r="C156" s="8" t="s">
        <v>20</v>
      </c>
      <c r="D156" s="12" t="s">
        <v>1068</v>
      </c>
      <c r="E156" s="10" t="s">
        <v>1069</v>
      </c>
      <c r="F156" s="11">
        <v>892537.0</v>
      </c>
      <c r="G156" s="10"/>
      <c r="H156" s="10" t="s">
        <v>1070</v>
      </c>
      <c r="I156" s="10" t="s">
        <v>1071</v>
      </c>
      <c r="J156" s="10" t="s">
        <v>1072</v>
      </c>
      <c r="K156" s="10" t="s">
        <v>1072</v>
      </c>
      <c r="L156" s="10" t="s">
        <v>1072</v>
      </c>
      <c r="M156" s="11">
        <v>2002.0</v>
      </c>
      <c r="N156" s="10"/>
      <c r="O156" s="10"/>
      <c r="P156" s="11">
        <v>7376.0</v>
      </c>
      <c r="Q156" s="11">
        <v>7373.0</v>
      </c>
      <c r="R156" s="11">
        <v>16.0</v>
      </c>
      <c r="S156" s="10"/>
      <c r="T156" s="10"/>
      <c r="U156" s="10"/>
      <c r="V156" s="4"/>
      <c r="W156" s="4"/>
      <c r="X156" s="4"/>
      <c r="Y156" s="4"/>
    </row>
    <row r="157">
      <c r="A157" s="10" t="s">
        <v>1073</v>
      </c>
      <c r="B157" s="11">
        <v>1017917.0</v>
      </c>
      <c r="C157" s="8" t="s">
        <v>762</v>
      </c>
      <c r="D157" s="12" t="s">
        <v>1074</v>
      </c>
      <c r="E157" s="10" t="s">
        <v>1075</v>
      </c>
      <c r="F157" s="11">
        <v>1017917.0</v>
      </c>
      <c r="G157" s="10"/>
      <c r="H157" s="10" t="s">
        <v>1076</v>
      </c>
      <c r="I157" s="10" t="s">
        <v>1077</v>
      </c>
      <c r="J157" s="10" t="s">
        <v>1078</v>
      </c>
      <c r="K157" s="10" t="s">
        <v>1078</v>
      </c>
      <c r="L157" s="10" t="s">
        <v>1078</v>
      </c>
      <c r="M157" s="11">
        <v>1996.0</v>
      </c>
      <c r="N157" s="10" t="s">
        <v>1079</v>
      </c>
      <c r="O157" s="10" t="s">
        <v>1079</v>
      </c>
      <c r="P157" s="11">
        <v>7371.0</v>
      </c>
      <c r="Q157" s="11">
        <v>7372.0</v>
      </c>
      <c r="R157" s="11">
        <v>11.5</v>
      </c>
      <c r="S157" s="10"/>
      <c r="T157" s="10"/>
      <c r="U157" s="10"/>
      <c r="V157" s="4"/>
      <c r="W157" s="4"/>
      <c r="X157" s="4"/>
      <c r="Y157" s="4"/>
    </row>
    <row r="158">
      <c r="A158" s="10" t="s">
        <v>1080</v>
      </c>
      <c r="B158" s="11">
        <v>1014982.0</v>
      </c>
      <c r="C158" s="8" t="s">
        <v>20</v>
      </c>
      <c r="D158" s="12" t="s">
        <v>1081</v>
      </c>
      <c r="E158" s="10" t="s">
        <v>1082</v>
      </c>
      <c r="F158" s="11">
        <v>1014982.0</v>
      </c>
      <c r="G158" s="10"/>
      <c r="H158" s="10" t="s">
        <v>1083</v>
      </c>
      <c r="I158" s="10" t="s">
        <v>1084</v>
      </c>
      <c r="J158" s="10" t="s">
        <v>1085</v>
      </c>
      <c r="K158" s="10" t="s">
        <v>1085</v>
      </c>
      <c r="L158" s="10" t="s">
        <v>1085</v>
      </c>
      <c r="M158" s="11">
        <v>1996.0</v>
      </c>
      <c r="N158" s="10" t="s">
        <v>1086</v>
      </c>
      <c r="O158" s="10" t="s">
        <v>1086</v>
      </c>
      <c r="P158" s="11">
        <v>7363.0</v>
      </c>
      <c r="Q158" s="11">
        <v>7363.0</v>
      </c>
      <c r="R158" s="11">
        <v>14.0</v>
      </c>
      <c r="S158" s="10"/>
      <c r="T158" s="10"/>
      <c r="U158" s="10"/>
      <c r="V158" s="4"/>
      <c r="W158" s="4"/>
      <c r="X158" s="4"/>
      <c r="Y158" s="4"/>
    </row>
    <row r="159">
      <c r="A159" s="10" t="s">
        <v>1087</v>
      </c>
      <c r="B159" s="11">
        <v>917673.0</v>
      </c>
      <c r="C159" s="8" t="s">
        <v>20</v>
      </c>
      <c r="D159" s="12" t="s">
        <v>1088</v>
      </c>
      <c r="E159" s="10" t="s">
        <v>1089</v>
      </c>
      <c r="F159" s="11">
        <v>917673.0</v>
      </c>
      <c r="G159" s="10"/>
      <c r="H159" s="10" t="s">
        <v>1090</v>
      </c>
      <c r="I159" s="10" t="s">
        <v>1091</v>
      </c>
      <c r="J159" s="10" t="s">
        <v>1092</v>
      </c>
      <c r="K159" s="10" t="s">
        <v>1093</v>
      </c>
      <c r="L159" s="10" t="s">
        <v>1092</v>
      </c>
      <c r="M159" s="11">
        <v>1994.0</v>
      </c>
      <c r="N159" s="10" t="s">
        <v>1094</v>
      </c>
      <c r="O159" s="10" t="s">
        <v>1094</v>
      </c>
      <c r="P159" s="11">
        <v>7363.0</v>
      </c>
      <c r="Q159" s="11">
        <v>7363.0</v>
      </c>
      <c r="R159" s="11">
        <v>17.5</v>
      </c>
      <c r="S159" s="10"/>
      <c r="T159" s="10"/>
      <c r="U159" s="10"/>
      <c r="V159" s="4"/>
      <c r="W159" s="4"/>
      <c r="X159" s="4"/>
      <c r="Y159" s="4"/>
    </row>
    <row r="160">
      <c r="A160" s="10" t="s">
        <v>1095</v>
      </c>
      <c r="B160" s="11">
        <v>1088214.0</v>
      </c>
      <c r="C160" s="8" t="s">
        <v>20</v>
      </c>
      <c r="D160" s="12" t="s">
        <v>1096</v>
      </c>
      <c r="E160" s="10" t="s">
        <v>1097</v>
      </c>
      <c r="F160" s="11">
        <v>1088214.0</v>
      </c>
      <c r="G160" s="10"/>
      <c r="H160" s="10" t="s">
        <v>1098</v>
      </c>
      <c r="I160" s="10" t="s">
        <v>1099</v>
      </c>
      <c r="J160" s="10"/>
      <c r="K160" s="10" t="s">
        <v>1100</v>
      </c>
      <c r="L160" s="10"/>
      <c r="M160" s="11">
        <v>1999.0</v>
      </c>
      <c r="N160" s="10" t="s">
        <v>1101</v>
      </c>
      <c r="O160" s="10" t="s">
        <v>1101</v>
      </c>
      <c r="P160" s="11">
        <v>7372.0</v>
      </c>
      <c r="Q160" s="11">
        <v>7372.0</v>
      </c>
      <c r="R160" s="11">
        <v>14.0</v>
      </c>
      <c r="S160" s="10"/>
      <c r="T160" s="10"/>
      <c r="U160" s="10"/>
      <c r="V160" s="4"/>
      <c r="W160" s="4"/>
      <c r="X160" s="4"/>
      <c r="Y160" s="4"/>
    </row>
    <row r="161">
      <c r="A161" s="10" t="s">
        <v>1102</v>
      </c>
      <c r="B161" s="11">
        <v>1022703.0</v>
      </c>
      <c r="C161" s="8" t="s">
        <v>20</v>
      </c>
      <c r="D161" s="12" t="s">
        <v>1103</v>
      </c>
      <c r="E161" s="10" t="s">
        <v>1104</v>
      </c>
      <c r="F161" s="10"/>
      <c r="G161" s="10"/>
      <c r="H161" s="10" t="s">
        <v>1105</v>
      </c>
      <c r="I161" s="10" t="s">
        <v>1106</v>
      </c>
      <c r="J161" s="10" t="s">
        <v>1107</v>
      </c>
      <c r="K161" s="10" t="s">
        <v>1107</v>
      </c>
      <c r="L161" s="10" t="s">
        <v>1107</v>
      </c>
      <c r="M161" s="11">
        <v>1996.0</v>
      </c>
      <c r="N161" s="10" t="s">
        <v>1108</v>
      </c>
      <c r="O161" s="10" t="s">
        <v>1108</v>
      </c>
      <c r="P161" s="11">
        <v>7373.0</v>
      </c>
      <c r="Q161" s="11">
        <v>7370.0</v>
      </c>
      <c r="R161" s="11">
        <v>12.0</v>
      </c>
      <c r="S161" s="10"/>
      <c r="T161" s="10"/>
      <c r="U161" s="10"/>
      <c r="V161" s="4"/>
      <c r="W161" s="4"/>
      <c r="X161" s="4"/>
      <c r="Y161" s="4"/>
    </row>
    <row r="162">
      <c r="A162" s="10" t="s">
        <v>1109</v>
      </c>
      <c r="B162" s="11">
        <v>1108915.0</v>
      </c>
      <c r="C162" s="8" t="s">
        <v>20</v>
      </c>
      <c r="D162" s="12" t="s">
        <v>1110</v>
      </c>
      <c r="E162" s="10" t="s">
        <v>1111</v>
      </c>
      <c r="F162" s="11">
        <v>1108915.0</v>
      </c>
      <c r="G162" s="10"/>
      <c r="H162" s="10" t="s">
        <v>1112</v>
      </c>
      <c r="I162" s="10" t="s">
        <v>1113</v>
      </c>
      <c r="J162" s="10" t="s">
        <v>1114</v>
      </c>
      <c r="K162" s="10" t="s">
        <v>1115</v>
      </c>
      <c r="L162" s="10" t="s">
        <v>1114</v>
      </c>
      <c r="M162" s="11">
        <v>2000.0</v>
      </c>
      <c r="N162" s="10" t="s">
        <v>1116</v>
      </c>
      <c r="O162" s="10" t="s">
        <v>1116</v>
      </c>
      <c r="P162" s="11">
        <v>7371.0</v>
      </c>
      <c r="Q162" s="11">
        <v>7372.0</v>
      </c>
      <c r="R162" s="11">
        <v>19.0</v>
      </c>
      <c r="S162" s="10"/>
      <c r="T162" s="10"/>
      <c r="U162" s="10"/>
      <c r="V162" s="4"/>
      <c r="W162" s="4"/>
      <c r="X162" s="4"/>
      <c r="Y162" s="4"/>
    </row>
    <row r="163">
      <c r="A163" s="10" t="s">
        <v>1117</v>
      </c>
      <c r="B163" s="11">
        <v>835887.0</v>
      </c>
      <c r="C163" s="8" t="s">
        <v>20</v>
      </c>
      <c r="D163" s="12" t="s">
        <v>1118</v>
      </c>
      <c r="E163" s="10" t="s">
        <v>1119</v>
      </c>
      <c r="F163" s="11">
        <v>835887.0</v>
      </c>
      <c r="G163" s="10"/>
      <c r="H163" s="10" t="s">
        <v>1120</v>
      </c>
      <c r="I163" s="10" t="s">
        <v>1121</v>
      </c>
      <c r="J163" s="10" t="s">
        <v>1122</v>
      </c>
      <c r="K163" s="10" t="s">
        <v>1122</v>
      </c>
      <c r="L163" s="10" t="s">
        <v>1122</v>
      </c>
      <c r="M163" s="11">
        <v>1997.0</v>
      </c>
      <c r="N163" s="10" t="s">
        <v>1123</v>
      </c>
      <c r="O163" s="10" t="s">
        <v>1123</v>
      </c>
      <c r="P163" s="11">
        <v>8731.0</v>
      </c>
      <c r="Q163" s="11">
        <v>2836.0</v>
      </c>
      <c r="R163" s="11">
        <v>8.0</v>
      </c>
      <c r="S163" s="10"/>
      <c r="T163" s="10"/>
      <c r="U163" s="10"/>
      <c r="V163" s="4"/>
      <c r="W163" s="4"/>
      <c r="X163" s="4"/>
      <c r="Y163" s="4"/>
    </row>
    <row r="164">
      <c r="A164" s="10" t="s">
        <v>1124</v>
      </c>
      <c r="B164" s="11">
        <v>921584.0</v>
      </c>
      <c r="C164" s="8" t="s">
        <v>20</v>
      </c>
      <c r="D164" s="12" t="s">
        <v>1125</v>
      </c>
      <c r="E164" s="10" t="s">
        <v>1126</v>
      </c>
      <c r="F164" s="11">
        <v>921584.0</v>
      </c>
      <c r="G164" s="10"/>
      <c r="H164" s="10" t="s">
        <v>1127</v>
      </c>
      <c r="I164" s="10" t="s">
        <v>1128</v>
      </c>
      <c r="J164" s="10" t="s">
        <v>1129</v>
      </c>
      <c r="K164" s="10" t="s">
        <v>1130</v>
      </c>
      <c r="L164" s="10" t="s">
        <v>1129</v>
      </c>
      <c r="M164" s="11">
        <v>1994.0</v>
      </c>
      <c r="N164" s="10" t="s">
        <v>1131</v>
      </c>
      <c r="O164" s="10" t="s">
        <v>1131</v>
      </c>
      <c r="P164" s="11">
        <v>6411.0</v>
      </c>
      <c r="Q164" s="11">
        <v>6411.0</v>
      </c>
      <c r="R164" s="11">
        <v>7.5</v>
      </c>
      <c r="S164" s="10"/>
      <c r="T164" s="10"/>
      <c r="U164" s="10"/>
      <c r="V164" s="4"/>
      <c r="W164" s="4"/>
      <c r="X164" s="4"/>
      <c r="Y164" s="4"/>
    </row>
    <row r="165">
      <c r="A165" s="10" t="s">
        <v>1132</v>
      </c>
      <c r="B165" s="11">
        <v>1020258.0</v>
      </c>
      <c r="C165" s="8" t="s">
        <v>20</v>
      </c>
      <c r="D165" s="12" t="s">
        <v>1133</v>
      </c>
      <c r="E165" s="10" t="s">
        <v>1134</v>
      </c>
      <c r="F165" s="11">
        <v>1020258.0</v>
      </c>
      <c r="G165" s="10"/>
      <c r="H165" s="10" t="s">
        <v>1135</v>
      </c>
      <c r="I165" s="10" t="s">
        <v>1136</v>
      </c>
      <c r="J165" s="10" t="s">
        <v>1137</v>
      </c>
      <c r="K165" s="10" t="s">
        <v>1138</v>
      </c>
      <c r="L165" s="10" t="s">
        <v>1137</v>
      </c>
      <c r="M165" s="11">
        <v>1997.0</v>
      </c>
      <c r="N165" s="10" t="s">
        <v>1139</v>
      </c>
      <c r="O165" s="10" t="s">
        <v>1139</v>
      </c>
      <c r="P165" s="11">
        <v>8741.0</v>
      </c>
      <c r="Q165" s="11">
        <v>6324.0</v>
      </c>
      <c r="R165" s="11">
        <v>10.0</v>
      </c>
      <c r="S165" s="10"/>
      <c r="T165" s="10"/>
      <c r="U165" s="10"/>
      <c r="V165" s="4"/>
      <c r="W165" s="4"/>
      <c r="X165" s="4"/>
      <c r="Y165" s="4"/>
    </row>
    <row r="166">
      <c r="A166" s="10" t="s">
        <v>1140</v>
      </c>
      <c r="B166" s="11">
        <v>1320092.0</v>
      </c>
      <c r="C166" s="8" t="s">
        <v>20</v>
      </c>
      <c r="D166" s="12" t="s">
        <v>1141</v>
      </c>
      <c r="E166" s="10" t="s">
        <v>1142</v>
      </c>
      <c r="F166" s="11">
        <v>1320092.0</v>
      </c>
      <c r="G166" s="10"/>
      <c r="H166" s="10" t="s">
        <v>1143</v>
      </c>
      <c r="I166" s="10" t="s">
        <v>1144</v>
      </c>
      <c r="J166" s="10" t="s">
        <v>1145</v>
      </c>
      <c r="K166" s="10" t="s">
        <v>1145</v>
      </c>
      <c r="L166" s="10" t="s">
        <v>1145</v>
      </c>
      <c r="M166" s="11">
        <v>2005.0</v>
      </c>
      <c r="N166" s="10" t="s">
        <v>1146</v>
      </c>
      <c r="O166" s="10" t="s">
        <v>1146</v>
      </c>
      <c r="P166" s="11">
        <v>6331.0</v>
      </c>
      <c r="Q166" s="11">
        <v>6331.0</v>
      </c>
      <c r="R166" s="11">
        <v>14.0</v>
      </c>
      <c r="S166" s="10"/>
      <c r="T166" s="10"/>
      <c r="U166" s="10"/>
      <c r="V166" s="4"/>
      <c r="W166" s="4"/>
      <c r="X166" s="4"/>
      <c r="Y166" s="4"/>
    </row>
    <row r="167">
      <c r="A167" s="10" t="s">
        <v>1147</v>
      </c>
      <c r="B167" s="11">
        <v>1855747.0</v>
      </c>
      <c r="C167" s="8" t="s">
        <v>749</v>
      </c>
      <c r="D167" s="12" t="s">
        <v>1148</v>
      </c>
      <c r="E167" s="10" t="s">
        <v>1149</v>
      </c>
      <c r="F167" s="11">
        <v>1855747.0</v>
      </c>
      <c r="G167" s="11">
        <v>1855747.0</v>
      </c>
      <c r="H167" s="10" t="s">
        <v>1150</v>
      </c>
      <c r="I167" s="10" t="s">
        <v>1151</v>
      </c>
      <c r="J167" s="10" t="s">
        <v>1152</v>
      </c>
      <c r="K167" s="10" t="s">
        <v>1152</v>
      </c>
      <c r="L167" s="10" t="s">
        <v>1152</v>
      </c>
      <c r="M167" s="11">
        <v>2021.0</v>
      </c>
      <c r="N167" s="10" t="s">
        <v>1153</v>
      </c>
      <c r="O167" s="10" t="s">
        <v>1153</v>
      </c>
      <c r="P167" s="11">
        <v>7372.0</v>
      </c>
      <c r="Q167" s="11">
        <v>7370.0</v>
      </c>
      <c r="R167" s="11">
        <v>18.0</v>
      </c>
      <c r="S167" s="10"/>
      <c r="T167" s="10"/>
      <c r="U167" s="10"/>
      <c r="V167" s="4"/>
      <c r="W167" s="4"/>
      <c r="X167" s="4"/>
      <c r="Y167" s="4"/>
    </row>
    <row r="168">
      <c r="A168" s="10" t="s">
        <v>1154</v>
      </c>
      <c r="B168" s="11">
        <v>1019336.0</v>
      </c>
      <c r="C168" s="8" t="s">
        <v>20</v>
      </c>
      <c r="D168" s="12" t="s">
        <v>1155</v>
      </c>
      <c r="E168" s="10" t="s">
        <v>1156</v>
      </c>
      <c r="F168" s="10"/>
      <c r="G168" s="10"/>
      <c r="H168" s="10" t="s">
        <v>1157</v>
      </c>
      <c r="I168" s="10" t="s">
        <v>1158</v>
      </c>
      <c r="J168" s="10" t="s">
        <v>1159</v>
      </c>
      <c r="K168" s="10" t="s">
        <v>1159</v>
      </c>
      <c r="L168" s="10" t="s">
        <v>1160</v>
      </c>
      <c r="M168" s="11">
        <v>1996.0</v>
      </c>
      <c r="N168" s="10" t="s">
        <v>1161</v>
      </c>
      <c r="O168" s="10" t="s">
        <v>1161</v>
      </c>
      <c r="P168" s="11">
        <v>8741.0</v>
      </c>
      <c r="Q168" s="11">
        <v>2750.0</v>
      </c>
      <c r="R168" s="11">
        <v>25.0</v>
      </c>
      <c r="S168" s="10"/>
      <c r="T168" s="10"/>
      <c r="U168" s="10"/>
      <c r="V168" s="4"/>
      <c r="W168" s="4"/>
      <c r="X168" s="4"/>
      <c r="Y168" s="4"/>
    </row>
    <row r="169">
      <c r="A169" s="10" t="s">
        <v>1162</v>
      </c>
      <c r="B169" s="11">
        <v>1383871.0</v>
      </c>
      <c r="C169" s="8" t="s">
        <v>762</v>
      </c>
      <c r="D169" s="12" t="s">
        <v>1163</v>
      </c>
      <c r="E169" s="10" t="s">
        <v>1164</v>
      </c>
      <c r="F169" s="11">
        <v>1383871.0</v>
      </c>
      <c r="G169" s="10"/>
      <c r="H169" s="10" t="s">
        <v>1165</v>
      </c>
      <c r="I169" s="10" t="s">
        <v>1166</v>
      </c>
      <c r="J169" s="10" t="s">
        <v>1167</v>
      </c>
      <c r="K169" s="10" t="s">
        <v>1167</v>
      </c>
      <c r="L169" s="10" t="s">
        <v>1167</v>
      </c>
      <c r="M169" s="11">
        <v>2012.0</v>
      </c>
      <c r="N169" s="10" t="s">
        <v>1168</v>
      </c>
      <c r="O169" s="10" t="s">
        <v>1168</v>
      </c>
      <c r="P169" s="11">
        <v>7372.0</v>
      </c>
      <c r="Q169" s="11">
        <v>7370.0</v>
      </c>
      <c r="R169" s="11">
        <v>9.0</v>
      </c>
      <c r="S169" s="10"/>
      <c r="T169" s="10"/>
      <c r="U169" s="10"/>
      <c r="V169" s="4"/>
      <c r="W169" s="4"/>
      <c r="X169" s="4"/>
      <c r="Y169" s="4"/>
    </row>
    <row r="170">
      <c r="A170" s="10" t="s">
        <v>1169</v>
      </c>
      <c r="B170" s="11">
        <v>913357.0</v>
      </c>
      <c r="C170" s="8" t="s">
        <v>20</v>
      </c>
      <c r="D170" s="12" t="s">
        <v>1170</v>
      </c>
      <c r="E170" s="10"/>
      <c r="F170" s="10"/>
      <c r="G170" s="10"/>
      <c r="H170" s="10" t="s">
        <v>1171</v>
      </c>
      <c r="I170" s="10" t="s">
        <v>1172</v>
      </c>
      <c r="J170" s="10" t="s">
        <v>1173</v>
      </c>
      <c r="K170" s="10"/>
      <c r="L170" s="10" t="s">
        <v>1174</v>
      </c>
      <c r="M170" s="11">
        <v>1994.0</v>
      </c>
      <c r="N170" s="10"/>
      <c r="O170" s="10"/>
      <c r="P170" s="11">
        <v>6351.0</v>
      </c>
      <c r="Q170" s="10"/>
      <c r="R170" s="11">
        <v>20.0</v>
      </c>
      <c r="S170" s="10"/>
      <c r="T170" s="10"/>
      <c r="U170" s="10"/>
      <c r="V170" s="4"/>
      <c r="W170" s="4"/>
      <c r="X170" s="4"/>
      <c r="Y170" s="4"/>
    </row>
    <row r="171">
      <c r="A171" s="10" t="s">
        <v>1175</v>
      </c>
      <c r="B171" s="11">
        <v>1106645.0</v>
      </c>
      <c r="C171" s="8" t="s">
        <v>749</v>
      </c>
      <c r="D171" s="12" t="s">
        <v>1176</v>
      </c>
      <c r="E171" s="10" t="s">
        <v>1177</v>
      </c>
      <c r="F171" s="11">
        <v>1106645.0</v>
      </c>
      <c r="G171" s="10"/>
      <c r="H171" s="10" t="s">
        <v>1178</v>
      </c>
      <c r="I171" s="10" t="s">
        <v>1179</v>
      </c>
      <c r="J171" s="10" t="s">
        <v>1180</v>
      </c>
      <c r="K171" s="10" t="s">
        <v>1181</v>
      </c>
      <c r="L171" s="10" t="s">
        <v>1180</v>
      </c>
      <c r="M171" s="11">
        <v>2006.0</v>
      </c>
      <c r="N171" s="10" t="s">
        <v>1182</v>
      </c>
      <c r="O171" s="10" t="s">
        <v>1182</v>
      </c>
      <c r="P171" s="11">
        <v>7372.0</v>
      </c>
      <c r="Q171" s="11">
        <v>7370.0</v>
      </c>
      <c r="R171" s="11">
        <v>5.0</v>
      </c>
      <c r="S171" s="10"/>
      <c r="T171" s="10"/>
      <c r="U171" s="10"/>
      <c r="V171" s="4"/>
      <c r="W171" s="4"/>
      <c r="X171" s="4"/>
      <c r="Y171" s="4"/>
    </row>
    <row r="172">
      <c r="A172" s="10" t="s">
        <v>1183</v>
      </c>
      <c r="B172" s="11">
        <v>1328015.0</v>
      </c>
      <c r="C172" s="8" t="s">
        <v>762</v>
      </c>
      <c r="D172" s="12" t="s">
        <v>1184</v>
      </c>
      <c r="E172" s="10" t="s">
        <v>1185</v>
      </c>
      <c r="F172" s="11">
        <v>1328015.0</v>
      </c>
      <c r="G172" s="10"/>
      <c r="H172" s="10" t="s">
        <v>1186</v>
      </c>
      <c r="I172" s="10" t="s">
        <v>1187</v>
      </c>
      <c r="J172" s="10" t="s">
        <v>1188</v>
      </c>
      <c r="K172" s="10" t="s">
        <v>1188</v>
      </c>
      <c r="L172" s="10" t="s">
        <v>1188</v>
      </c>
      <c r="M172" s="11">
        <v>2014.0</v>
      </c>
      <c r="N172" s="10" t="s">
        <v>1189</v>
      </c>
      <c r="O172" s="10" t="s">
        <v>1189</v>
      </c>
      <c r="P172" s="11">
        <v>7372.0</v>
      </c>
      <c r="Q172" s="11">
        <v>7372.0</v>
      </c>
      <c r="R172" s="11">
        <v>15.0</v>
      </c>
      <c r="S172" s="10"/>
      <c r="T172" s="10"/>
      <c r="U172" s="10"/>
      <c r="V172" s="4"/>
      <c r="W172" s="4"/>
      <c r="X172" s="4"/>
      <c r="Y172" s="4"/>
    </row>
    <row r="173">
      <c r="A173" s="10" t="s">
        <v>1190</v>
      </c>
      <c r="B173" s="11">
        <v>1078295.0</v>
      </c>
      <c r="C173" s="8" t="s">
        <v>20</v>
      </c>
      <c r="D173" s="12" t="s">
        <v>1191</v>
      </c>
      <c r="E173" s="10" t="s">
        <v>1192</v>
      </c>
      <c r="F173" s="11">
        <v>1078295.0</v>
      </c>
      <c r="G173" s="10"/>
      <c r="H173" s="10" t="s">
        <v>1193</v>
      </c>
      <c r="I173" s="10" t="s">
        <v>1194</v>
      </c>
      <c r="J173" s="10" t="s">
        <v>1195</v>
      </c>
      <c r="K173" s="10" t="s">
        <v>1195</v>
      </c>
      <c r="L173" s="10" t="s">
        <v>1195</v>
      </c>
      <c r="M173" s="11">
        <v>1999.0</v>
      </c>
      <c r="N173" s="10" t="s">
        <v>1196</v>
      </c>
      <c r="O173" s="10" t="s">
        <v>1196</v>
      </c>
      <c r="P173" s="11">
        <v>7372.0</v>
      </c>
      <c r="Q173" s="11">
        <v>7372.0</v>
      </c>
      <c r="R173" s="11">
        <v>20.0</v>
      </c>
      <c r="S173" s="10"/>
      <c r="T173" s="10"/>
      <c r="U173" s="10"/>
      <c r="V173" s="4"/>
      <c r="W173" s="4"/>
      <c r="X173" s="4"/>
      <c r="Y173" s="4"/>
    </row>
    <row r="174">
      <c r="A174" s="10" t="s">
        <v>1197</v>
      </c>
      <c r="B174" s="11">
        <v>1053374.0</v>
      </c>
      <c r="C174" s="8" t="s">
        <v>20</v>
      </c>
      <c r="D174" s="12" t="s">
        <v>1198</v>
      </c>
      <c r="E174" s="10" t="s">
        <v>1199</v>
      </c>
      <c r="F174" s="11">
        <v>1053374.0</v>
      </c>
      <c r="G174" s="10"/>
      <c r="H174" s="10" t="s">
        <v>1200</v>
      </c>
      <c r="I174" s="10" t="s">
        <v>1201</v>
      </c>
      <c r="J174" s="10" t="s">
        <v>1202</v>
      </c>
      <c r="K174" s="10" t="s">
        <v>1202</v>
      </c>
      <c r="L174" s="10" t="s">
        <v>1202</v>
      </c>
      <c r="M174" s="11">
        <v>2003.0</v>
      </c>
      <c r="N174" s="10"/>
      <c r="O174" s="10"/>
      <c r="P174" s="11">
        <v>7374.0</v>
      </c>
      <c r="Q174" s="11">
        <v>7370.0</v>
      </c>
      <c r="R174" s="11">
        <v>14.0</v>
      </c>
      <c r="S174" s="10"/>
      <c r="T174" s="10"/>
      <c r="U174" s="10"/>
      <c r="V174" s="4"/>
      <c r="W174" s="4"/>
      <c r="X174" s="4"/>
      <c r="Y174" s="4"/>
    </row>
    <row r="175">
      <c r="A175" s="10" t="s">
        <v>1203</v>
      </c>
      <c r="B175" s="11">
        <v>1304366.0</v>
      </c>
      <c r="C175" s="8" t="s">
        <v>20</v>
      </c>
      <c r="D175" s="12" t="s">
        <v>281</v>
      </c>
      <c r="E175" s="10" t="s">
        <v>1204</v>
      </c>
      <c r="F175" s="11">
        <v>1304366.0</v>
      </c>
      <c r="G175" s="10"/>
      <c r="H175" s="10" t="s">
        <v>1205</v>
      </c>
      <c r="I175" s="10" t="s">
        <v>1206</v>
      </c>
      <c r="J175" s="10" t="s">
        <v>1207</v>
      </c>
      <c r="K175" s="10" t="s">
        <v>1208</v>
      </c>
      <c r="L175" s="10" t="s">
        <v>1207</v>
      </c>
      <c r="M175" s="11">
        <v>2004.0</v>
      </c>
      <c r="N175" s="10" t="s">
        <v>1209</v>
      </c>
      <c r="O175" s="10" t="s">
        <v>1209</v>
      </c>
      <c r="P175" s="11">
        <v>6712.0</v>
      </c>
      <c r="Q175" s="11">
        <v>6020.0</v>
      </c>
      <c r="R175" s="11">
        <v>23.0</v>
      </c>
      <c r="S175" s="10"/>
      <c r="T175" s="10"/>
      <c r="U175" s="10"/>
      <c r="V175" s="4"/>
      <c r="W175" s="4"/>
      <c r="X175" s="4"/>
      <c r="Y175" s="4"/>
    </row>
    <row r="176">
      <c r="A176" s="10" t="s">
        <v>1210</v>
      </c>
      <c r="B176" s="11">
        <v>1235468.0</v>
      </c>
      <c r="C176" s="8" t="s">
        <v>20</v>
      </c>
      <c r="D176" s="12" t="s">
        <v>1211</v>
      </c>
      <c r="E176" s="10" t="s">
        <v>1212</v>
      </c>
      <c r="F176" s="11">
        <v>1235468.0</v>
      </c>
      <c r="G176" s="11">
        <v>1235468.0</v>
      </c>
      <c r="H176" s="10" t="s">
        <v>1213</v>
      </c>
      <c r="I176" s="10" t="s">
        <v>1214</v>
      </c>
      <c r="J176" s="10" t="s">
        <v>1215</v>
      </c>
      <c r="K176" s="10" t="s">
        <v>1215</v>
      </c>
      <c r="L176" s="10" t="s">
        <v>1215</v>
      </c>
      <c r="M176" s="11">
        <v>2006.0</v>
      </c>
      <c r="N176" s="10" t="s">
        <v>1216</v>
      </c>
      <c r="O176" s="10" t="s">
        <v>1216</v>
      </c>
      <c r="P176" s="11">
        <v>7375.0</v>
      </c>
      <c r="Q176" s="11">
        <v>5961.0</v>
      </c>
      <c r="R176" s="11">
        <v>10.0</v>
      </c>
      <c r="S176" s="10"/>
      <c r="T176" s="10"/>
      <c r="U176" s="10"/>
      <c r="V176" s="4"/>
      <c r="W176" s="4"/>
      <c r="X176" s="4"/>
      <c r="Y176" s="4"/>
    </row>
    <row r="177">
      <c r="A177" s="10" t="s">
        <v>1217</v>
      </c>
      <c r="B177" s="11">
        <v>940800.0</v>
      </c>
      <c r="C177" s="8" t="s">
        <v>20</v>
      </c>
      <c r="D177" s="12" t="s">
        <v>1218</v>
      </c>
      <c r="E177" s="10"/>
      <c r="F177" s="10"/>
      <c r="G177" s="10"/>
      <c r="H177" s="10" t="s">
        <v>1219</v>
      </c>
      <c r="I177" s="10" t="s">
        <v>1220</v>
      </c>
      <c r="J177" s="10" t="s">
        <v>1221</v>
      </c>
      <c r="K177" s="10"/>
      <c r="L177" s="10" t="s">
        <v>1221</v>
      </c>
      <c r="M177" s="11">
        <v>1995.0</v>
      </c>
      <c r="N177" s="10"/>
      <c r="O177" s="10"/>
      <c r="P177" s="11">
        <v>7311.0</v>
      </c>
      <c r="Q177" s="10"/>
      <c r="R177" s="11">
        <v>5.0</v>
      </c>
      <c r="S177" s="10"/>
      <c r="T177" s="10"/>
      <c r="U177" s="10"/>
      <c r="V177" s="4"/>
      <c r="W177" s="4"/>
      <c r="X177" s="4"/>
      <c r="Y177" s="4"/>
    </row>
    <row r="178">
      <c r="A178" s="10" t="s">
        <v>1222</v>
      </c>
      <c r="B178" s="11">
        <v>1010655.0</v>
      </c>
      <c r="C178" s="8" t="s">
        <v>20</v>
      </c>
      <c r="D178" s="12" t="s">
        <v>1223</v>
      </c>
      <c r="E178" s="10" t="s">
        <v>1224</v>
      </c>
      <c r="F178" s="11">
        <v>1010655.0</v>
      </c>
      <c r="G178" s="10"/>
      <c r="H178" s="10" t="s">
        <v>1225</v>
      </c>
      <c r="I178" s="10" t="s">
        <v>1226</v>
      </c>
      <c r="J178" s="10" t="s">
        <v>1227</v>
      </c>
      <c r="K178" s="10" t="s">
        <v>1227</v>
      </c>
      <c r="L178" s="10" t="s">
        <v>1227</v>
      </c>
      <c r="M178" s="11">
        <v>1997.0</v>
      </c>
      <c r="N178" s="10" t="s">
        <v>1228</v>
      </c>
      <c r="O178" s="10" t="s">
        <v>1228</v>
      </c>
      <c r="P178" s="11">
        <v>7373.0</v>
      </c>
      <c r="Q178" s="11">
        <v>7373.0</v>
      </c>
      <c r="R178" s="11">
        <v>11.0</v>
      </c>
      <c r="S178" s="10"/>
      <c r="T178" s="10"/>
      <c r="U178" s="10"/>
      <c r="V178" s="4"/>
      <c r="W178" s="4"/>
      <c r="X178" s="4"/>
      <c r="Y178" s="4"/>
    </row>
    <row r="179">
      <c r="A179" s="10" t="s">
        <v>1229</v>
      </c>
      <c r="B179" s="11">
        <v>1566469.0</v>
      </c>
      <c r="C179" s="8" t="s">
        <v>20</v>
      </c>
      <c r="D179" s="12" t="s">
        <v>1230</v>
      </c>
      <c r="E179" s="10" t="s">
        <v>1231</v>
      </c>
      <c r="F179" s="11">
        <v>1566469.0</v>
      </c>
      <c r="G179" s="10"/>
      <c r="H179" s="10" t="s">
        <v>1232</v>
      </c>
      <c r="I179" s="10" t="s">
        <v>1233</v>
      </c>
      <c r="J179" s="10" t="s">
        <v>1234</v>
      </c>
      <c r="K179" s="10" t="s">
        <v>1235</v>
      </c>
      <c r="L179" s="10"/>
      <c r="M179" s="11">
        <v>2016.0</v>
      </c>
      <c r="N179" s="10" t="s">
        <v>1236</v>
      </c>
      <c r="O179" s="10" t="s">
        <v>1236</v>
      </c>
      <c r="P179" s="11">
        <v>7376.0</v>
      </c>
      <c r="Q179" s="11">
        <v>7370.0</v>
      </c>
      <c r="R179" s="11">
        <v>14.0</v>
      </c>
      <c r="S179" s="10"/>
      <c r="T179" s="10"/>
      <c r="U179" s="10"/>
      <c r="V179" s="4"/>
      <c r="W179" s="4"/>
      <c r="X179" s="4"/>
      <c r="Y179" s="4"/>
    </row>
    <row r="180">
      <c r="A180" s="10" t="s">
        <v>1237</v>
      </c>
      <c r="B180" s="11">
        <v>1640147.0</v>
      </c>
      <c r="C180" s="8" t="s">
        <v>20</v>
      </c>
      <c r="D180" s="12" t="s">
        <v>1238</v>
      </c>
      <c r="E180" s="10" t="s">
        <v>1239</v>
      </c>
      <c r="F180" s="11">
        <v>1640147.0</v>
      </c>
      <c r="G180" s="11">
        <v>1640147.0</v>
      </c>
      <c r="H180" s="10" t="s">
        <v>1240</v>
      </c>
      <c r="I180" s="10" t="s">
        <v>1241</v>
      </c>
      <c r="J180" s="10" t="s">
        <v>1242</v>
      </c>
      <c r="K180" s="10" t="s">
        <v>1242</v>
      </c>
      <c r="L180" s="10" t="s">
        <v>1242</v>
      </c>
      <c r="M180" s="11">
        <v>2020.0</v>
      </c>
      <c r="N180" s="10" t="s">
        <v>1243</v>
      </c>
      <c r="O180" s="10" t="s">
        <v>1243</v>
      </c>
      <c r="P180" s="11">
        <v>7374.0</v>
      </c>
      <c r="Q180" s="11">
        <v>7370.0</v>
      </c>
      <c r="R180" s="11">
        <v>120.0</v>
      </c>
      <c r="S180" s="10"/>
      <c r="T180" s="10"/>
      <c r="U180" s="10"/>
      <c r="V180" s="4"/>
      <c r="W180" s="4"/>
      <c r="X180" s="4"/>
      <c r="Y180" s="4"/>
    </row>
    <row r="181">
      <c r="A181" s="10" t="s">
        <v>1244</v>
      </c>
      <c r="B181" s="11">
        <v>1788882.0</v>
      </c>
      <c r="C181" s="8" t="s">
        <v>762</v>
      </c>
      <c r="D181" s="12" t="s">
        <v>1245</v>
      </c>
      <c r="E181" s="10" t="s">
        <v>1246</v>
      </c>
      <c r="F181" s="11">
        <v>1788882.0</v>
      </c>
      <c r="G181" s="11">
        <v>1788882.0</v>
      </c>
      <c r="H181" s="10" t="s">
        <v>1247</v>
      </c>
      <c r="I181" s="10" t="s">
        <v>1248</v>
      </c>
      <c r="J181" s="10" t="s">
        <v>1249</v>
      </c>
      <c r="K181" s="10" t="s">
        <v>1249</v>
      </c>
      <c r="L181" s="10" t="s">
        <v>1249</v>
      </c>
      <c r="M181" s="11">
        <v>2020.0</v>
      </c>
      <c r="N181" s="10" t="s">
        <v>1250</v>
      </c>
      <c r="O181" s="10" t="s">
        <v>1250</v>
      </c>
      <c r="P181" s="11">
        <v>6331.0</v>
      </c>
      <c r="Q181" s="11">
        <v>6331.0</v>
      </c>
      <c r="R181" s="11">
        <v>27.0</v>
      </c>
      <c r="S181" s="10"/>
      <c r="T181" s="10"/>
      <c r="U181" s="10"/>
      <c r="V181" s="4"/>
      <c r="W181" s="4"/>
      <c r="X181" s="4"/>
      <c r="Y181" s="4"/>
    </row>
    <row r="182">
      <c r="A182" s="10" t="s">
        <v>1251</v>
      </c>
      <c r="B182" s="11">
        <v>1095315.0</v>
      </c>
      <c r="C182" s="8" t="s">
        <v>749</v>
      </c>
      <c r="D182" s="12" t="s">
        <v>1252</v>
      </c>
      <c r="E182" s="10" t="s">
        <v>1253</v>
      </c>
      <c r="F182" s="11">
        <v>1095315.0</v>
      </c>
      <c r="G182" s="10"/>
      <c r="H182" s="10" t="s">
        <v>1254</v>
      </c>
      <c r="I182" s="10" t="s">
        <v>1255</v>
      </c>
      <c r="J182" s="10" t="s">
        <v>1256</v>
      </c>
      <c r="K182" s="10" t="s">
        <v>1256</v>
      </c>
      <c r="L182" s="10" t="s">
        <v>1256</v>
      </c>
      <c r="M182" s="11">
        <v>1999.0</v>
      </c>
      <c r="N182" s="10" t="s">
        <v>1257</v>
      </c>
      <c r="O182" s="10" t="s">
        <v>1257</v>
      </c>
      <c r="P182" s="11">
        <v>7389.0</v>
      </c>
      <c r="Q182" s="11">
        <v>7389.0</v>
      </c>
      <c r="R182" s="11">
        <v>17.0</v>
      </c>
      <c r="S182" s="10"/>
      <c r="T182" s="10"/>
      <c r="U182" s="10"/>
      <c r="V182" s="4"/>
      <c r="W182" s="4"/>
      <c r="X182" s="4"/>
      <c r="Y182" s="4"/>
    </row>
    <row r="183">
      <c r="A183" s="10" t="s">
        <v>1258</v>
      </c>
      <c r="B183" s="11">
        <v>1050686.0</v>
      </c>
      <c r="C183" s="8" t="s">
        <v>20</v>
      </c>
      <c r="D183" s="12" t="s">
        <v>1259</v>
      </c>
      <c r="E183" s="10" t="s">
        <v>1260</v>
      </c>
      <c r="F183" s="11">
        <v>1050686.0</v>
      </c>
      <c r="G183" s="11">
        <v>1412408.0</v>
      </c>
      <c r="H183" s="10" t="s">
        <v>1261</v>
      </c>
      <c r="I183" s="10" t="s">
        <v>1262</v>
      </c>
      <c r="J183" s="10" t="s">
        <v>1263</v>
      </c>
      <c r="K183" s="10" t="s">
        <v>1264</v>
      </c>
      <c r="L183" s="10" t="s">
        <v>1263</v>
      </c>
      <c r="M183" s="11">
        <v>1998.0</v>
      </c>
      <c r="N183" s="10" t="s">
        <v>1265</v>
      </c>
      <c r="O183" s="10" t="s">
        <v>1265</v>
      </c>
      <c r="P183" s="11">
        <v>6552.0</v>
      </c>
      <c r="Q183" s="11">
        <v>9995.0</v>
      </c>
      <c r="R183" s="11">
        <v>17.5</v>
      </c>
      <c r="S183" s="10"/>
      <c r="T183" s="10"/>
      <c r="U183" s="10"/>
      <c r="V183" s="4"/>
      <c r="W183" s="4"/>
      <c r="X183" s="4"/>
      <c r="Y183" s="4"/>
    </row>
    <row r="184">
      <c r="A184" s="10" t="s">
        <v>1266</v>
      </c>
      <c r="B184" s="11">
        <v>1627857.0</v>
      </c>
      <c r="C184" s="8" t="s">
        <v>20</v>
      </c>
      <c r="D184" s="12" t="s">
        <v>1267</v>
      </c>
      <c r="E184" s="10" t="s">
        <v>1268</v>
      </c>
      <c r="F184" s="11">
        <v>1627857.0</v>
      </c>
      <c r="G184" s="11">
        <v>2030781.0</v>
      </c>
      <c r="H184" s="10" t="s">
        <v>1269</v>
      </c>
      <c r="I184" s="10" t="s">
        <v>1270</v>
      </c>
      <c r="J184" s="10" t="s">
        <v>1271</v>
      </c>
      <c r="K184" s="10" t="s">
        <v>1272</v>
      </c>
      <c r="L184" s="10" t="s">
        <v>1271</v>
      </c>
      <c r="M184" s="11">
        <v>2017.0</v>
      </c>
      <c r="N184" s="10" t="s">
        <v>1273</v>
      </c>
      <c r="O184" s="10" t="s">
        <v>1273</v>
      </c>
      <c r="P184" s="11">
        <v>7372.0</v>
      </c>
      <c r="Q184" s="11">
        <v>7370.0</v>
      </c>
      <c r="R184" s="11">
        <v>12.0</v>
      </c>
      <c r="S184" s="10"/>
      <c r="T184" s="10"/>
      <c r="U184" s="10"/>
      <c r="V184" s="4"/>
      <c r="W184" s="4"/>
      <c r="X184" s="4"/>
      <c r="Y184" s="4"/>
    </row>
    <row r="185">
      <c r="A185" s="10" t="s">
        <v>1274</v>
      </c>
      <c r="B185" s="11">
        <v>1039242.0</v>
      </c>
      <c r="C185" s="8" t="s">
        <v>20</v>
      </c>
      <c r="D185" s="12" t="s">
        <v>1275</v>
      </c>
      <c r="E185" s="10" t="s">
        <v>1276</v>
      </c>
      <c r="F185" s="11">
        <v>1039242.0</v>
      </c>
      <c r="G185" s="10"/>
      <c r="H185" s="10" t="s">
        <v>1277</v>
      </c>
      <c r="I185" s="10" t="s">
        <v>1278</v>
      </c>
      <c r="J185" s="10" t="s">
        <v>1279</v>
      </c>
      <c r="K185" s="10" t="s">
        <v>1280</v>
      </c>
      <c r="L185" s="10" t="s">
        <v>1279</v>
      </c>
      <c r="M185" s="11">
        <v>1999.0</v>
      </c>
      <c r="N185" s="10" t="s">
        <v>1281</v>
      </c>
      <c r="O185" s="10" t="s">
        <v>1281</v>
      </c>
      <c r="P185" s="11">
        <v>7372.0</v>
      </c>
      <c r="Q185" s="11">
        <v>7372.0</v>
      </c>
      <c r="R185" s="11">
        <v>15.0</v>
      </c>
      <c r="S185" s="10"/>
      <c r="T185" s="10"/>
      <c r="U185" s="10"/>
      <c r="V185" s="4"/>
      <c r="W185" s="4"/>
      <c r="X185" s="4"/>
      <c r="Y185" s="4"/>
    </row>
    <row r="186">
      <c r="A186" s="10" t="s">
        <v>1282</v>
      </c>
      <c r="B186" s="11">
        <v>1030681.0</v>
      </c>
      <c r="C186" s="8" t="s">
        <v>20</v>
      </c>
      <c r="D186" s="15" t="s">
        <v>1001</v>
      </c>
      <c r="E186" s="10" t="s">
        <v>1283</v>
      </c>
      <c r="F186" s="11">
        <v>1030681.0</v>
      </c>
      <c r="G186" s="10"/>
      <c r="H186" s="10" t="s">
        <v>1284</v>
      </c>
      <c r="I186" s="10" t="s">
        <v>1285</v>
      </c>
      <c r="J186" s="10" t="s">
        <v>1286</v>
      </c>
      <c r="K186" s="10" t="s">
        <v>1286</v>
      </c>
      <c r="L186" s="10" t="s">
        <v>1286</v>
      </c>
      <c r="M186" s="11">
        <v>1997.0</v>
      </c>
      <c r="N186" s="10" t="s">
        <v>1287</v>
      </c>
      <c r="O186" s="10" t="s">
        <v>1287</v>
      </c>
      <c r="P186" s="11">
        <v>7372.0</v>
      </c>
      <c r="Q186" s="11">
        <v>7372.0</v>
      </c>
      <c r="R186" s="11">
        <v>9.5</v>
      </c>
      <c r="S186" s="10"/>
      <c r="T186" s="10"/>
      <c r="U186" s="10"/>
      <c r="V186" s="4"/>
      <c r="W186" s="4"/>
      <c r="X186" s="4"/>
      <c r="Y186" s="4"/>
    </row>
    <row r="187">
      <c r="A187" s="10" t="s">
        <v>1288</v>
      </c>
      <c r="B187" s="11">
        <v>1840233.0</v>
      </c>
      <c r="C187" s="8" t="s">
        <v>20</v>
      </c>
      <c r="D187" s="12" t="s">
        <v>1289</v>
      </c>
      <c r="E187" s="10" t="s">
        <v>1290</v>
      </c>
      <c r="F187" s="11">
        <v>1840233.0</v>
      </c>
      <c r="G187" s="11">
        <v>1840233.0</v>
      </c>
      <c r="H187" s="10" t="s">
        <v>1291</v>
      </c>
      <c r="I187" s="10" t="s">
        <v>1292</v>
      </c>
      <c r="J187" s="10" t="s">
        <v>1293</v>
      </c>
      <c r="K187" s="10" t="s">
        <v>1293</v>
      </c>
      <c r="L187" s="10" t="s">
        <v>1293</v>
      </c>
      <c r="M187" s="11">
        <v>2021.0</v>
      </c>
      <c r="N187" s="10" t="s">
        <v>1294</v>
      </c>
      <c r="O187" s="10" t="s">
        <v>1294</v>
      </c>
      <c r="P187" s="11">
        <v>8731.0</v>
      </c>
      <c r="Q187" s="11">
        <v>2836.0</v>
      </c>
      <c r="R187" s="11">
        <v>16.0</v>
      </c>
      <c r="S187" s="10"/>
      <c r="T187" s="10"/>
      <c r="U187" s="10"/>
      <c r="V187" s="4"/>
      <c r="W187" s="4"/>
      <c r="X187" s="4"/>
      <c r="Y187" s="4"/>
    </row>
    <row r="188">
      <c r="A188" s="10" t="s">
        <v>1295</v>
      </c>
      <c r="B188" s="11">
        <v>1763950.0</v>
      </c>
      <c r="C188" s="8" t="s">
        <v>20</v>
      </c>
      <c r="D188" s="12" t="s">
        <v>1296</v>
      </c>
      <c r="E188" s="10" t="s">
        <v>1297</v>
      </c>
      <c r="F188" s="11">
        <v>1763950.0</v>
      </c>
      <c r="G188" s="11">
        <v>1763950.0</v>
      </c>
      <c r="H188" s="10" t="s">
        <v>1298</v>
      </c>
      <c r="I188" s="10" t="s">
        <v>1299</v>
      </c>
      <c r="J188" s="10" t="s">
        <v>1300</v>
      </c>
      <c r="K188" s="10" t="s">
        <v>1300</v>
      </c>
      <c r="L188" s="10" t="s">
        <v>1300</v>
      </c>
      <c r="M188" s="11">
        <v>2020.0</v>
      </c>
      <c r="N188" s="10" t="s">
        <v>1301</v>
      </c>
      <c r="O188" s="10" t="s">
        <v>1301</v>
      </c>
      <c r="P188" s="11">
        <v>8731.0</v>
      </c>
      <c r="Q188" s="11">
        <v>2836.0</v>
      </c>
      <c r="R188" s="11">
        <v>15.0</v>
      </c>
      <c r="S188" s="10"/>
      <c r="T188" s="10"/>
      <c r="U188" s="10"/>
      <c r="V188" s="4"/>
      <c r="W188" s="4"/>
      <c r="X188" s="4"/>
      <c r="Y188" s="4"/>
    </row>
    <row r="189">
      <c r="A189" s="10" t="s">
        <v>1302</v>
      </c>
      <c r="B189" s="11">
        <v>1122897.0</v>
      </c>
      <c r="C189" s="8" t="s">
        <v>20</v>
      </c>
      <c r="D189" s="12" t="s">
        <v>1303</v>
      </c>
      <c r="E189" s="10" t="s">
        <v>1304</v>
      </c>
      <c r="F189" s="10"/>
      <c r="G189" s="10"/>
      <c r="H189" s="10" t="s">
        <v>1305</v>
      </c>
      <c r="I189" s="10" t="s">
        <v>1306</v>
      </c>
      <c r="J189" s="10" t="s">
        <v>1307</v>
      </c>
      <c r="K189" s="10" t="s">
        <v>1308</v>
      </c>
      <c r="L189" s="10" t="s">
        <v>1307</v>
      </c>
      <c r="M189" s="11">
        <v>2013.0</v>
      </c>
      <c r="N189" s="10" t="s">
        <v>1309</v>
      </c>
      <c r="O189" s="10" t="s">
        <v>1309</v>
      </c>
      <c r="P189" s="11">
        <v>7373.0</v>
      </c>
      <c r="Q189" s="11">
        <v>7370.0</v>
      </c>
      <c r="R189" s="11">
        <v>21.0</v>
      </c>
      <c r="S189" s="10"/>
      <c r="T189" s="10"/>
      <c r="U189" s="10"/>
      <c r="V189" s="4"/>
      <c r="W189" s="4"/>
      <c r="X189" s="4"/>
      <c r="Y189" s="4"/>
    </row>
    <row r="190">
      <c r="A190" s="10" t="s">
        <v>1310</v>
      </c>
      <c r="B190" s="11">
        <v>1402436.0</v>
      </c>
      <c r="C190" s="8" t="s">
        <v>749</v>
      </c>
      <c r="D190" s="12" t="s">
        <v>1311</v>
      </c>
      <c r="E190" s="10" t="s">
        <v>1312</v>
      </c>
      <c r="F190" s="11">
        <v>1402436.0</v>
      </c>
      <c r="G190" s="11">
        <v>1402436.0</v>
      </c>
      <c r="H190" s="10" t="s">
        <v>1313</v>
      </c>
      <c r="I190" s="10" t="s">
        <v>1314</v>
      </c>
      <c r="J190" s="10" t="s">
        <v>1315</v>
      </c>
      <c r="K190" s="10" t="s">
        <v>1315</v>
      </c>
      <c r="L190" s="10"/>
      <c r="M190" s="11">
        <v>2010.0</v>
      </c>
      <c r="N190" s="10" t="s">
        <v>464</v>
      </c>
      <c r="O190" s="10" t="s">
        <v>464</v>
      </c>
      <c r="P190" s="11">
        <v>7372.0</v>
      </c>
      <c r="Q190" s="11">
        <v>7370.0</v>
      </c>
      <c r="R190" s="11">
        <v>15.0</v>
      </c>
      <c r="S190" s="10"/>
      <c r="T190" s="10"/>
      <c r="U190" s="10"/>
      <c r="V190" s="4"/>
      <c r="W190" s="4"/>
      <c r="X190" s="4"/>
      <c r="Y190" s="4"/>
    </row>
    <row r="191">
      <c r="A191" s="10" t="s">
        <v>1316</v>
      </c>
      <c r="B191" s="11">
        <v>1157624.0</v>
      </c>
      <c r="C191" s="8" t="s">
        <v>20</v>
      </c>
      <c r="D191" s="12" t="s">
        <v>1317</v>
      </c>
      <c r="E191" s="10" t="s">
        <v>1318</v>
      </c>
      <c r="F191" s="11">
        <v>1157624.0</v>
      </c>
      <c r="G191" s="10"/>
      <c r="H191" s="10" t="s">
        <v>1319</v>
      </c>
      <c r="I191" s="10" t="s">
        <v>1320</v>
      </c>
      <c r="J191" s="10" t="s">
        <v>1321</v>
      </c>
      <c r="K191" s="10" t="s">
        <v>1321</v>
      </c>
      <c r="L191" s="10" t="s">
        <v>1321</v>
      </c>
      <c r="M191" s="11">
        <v>2001.0</v>
      </c>
      <c r="N191" s="10" t="s">
        <v>1322</v>
      </c>
      <c r="O191" s="10" t="s">
        <v>1322</v>
      </c>
      <c r="P191" s="11">
        <v>7372.0</v>
      </c>
      <c r="Q191" s="11">
        <v>7372.0</v>
      </c>
      <c r="R191" s="11">
        <v>11.0</v>
      </c>
      <c r="S191" s="10"/>
      <c r="T191" s="10"/>
      <c r="U191" s="10"/>
      <c r="V191" s="4"/>
      <c r="W191" s="4"/>
      <c r="X191" s="4"/>
      <c r="Y191" s="4"/>
    </row>
    <row r="192">
      <c r="A192" s="10" t="s">
        <v>1323</v>
      </c>
      <c r="B192" s="11">
        <v>1016281.0</v>
      </c>
      <c r="C192" s="8" t="s">
        <v>20</v>
      </c>
      <c r="D192" s="12" t="s">
        <v>1324</v>
      </c>
      <c r="E192" s="10" t="s">
        <v>1325</v>
      </c>
      <c r="F192" s="11">
        <v>1016281.0</v>
      </c>
      <c r="G192" s="10"/>
      <c r="H192" s="10" t="s">
        <v>1326</v>
      </c>
      <c r="I192" s="10" t="s">
        <v>1327</v>
      </c>
      <c r="J192" s="10" t="s">
        <v>1328</v>
      </c>
      <c r="K192" s="10" t="s">
        <v>1329</v>
      </c>
      <c r="L192" s="10" t="s">
        <v>1328</v>
      </c>
      <c r="M192" s="11">
        <v>1996.0</v>
      </c>
      <c r="N192" s="10" t="s">
        <v>1330</v>
      </c>
      <c r="O192" s="10" t="s">
        <v>1330</v>
      </c>
      <c r="P192" s="11">
        <v>7261.0</v>
      </c>
      <c r="Q192" s="11">
        <v>7200.0</v>
      </c>
      <c r="R192" s="11">
        <v>13.5</v>
      </c>
      <c r="S192" s="10"/>
      <c r="T192" s="10"/>
      <c r="U192" s="10"/>
      <c r="V192" s="4"/>
      <c r="W192" s="4"/>
      <c r="X192" s="4"/>
      <c r="Y192" s="4"/>
    </row>
    <row r="193">
      <c r="A193" s="10" t="s">
        <v>1331</v>
      </c>
      <c r="B193" s="11">
        <v>1680379.0</v>
      </c>
      <c r="C193" s="8" t="s">
        <v>749</v>
      </c>
      <c r="D193" s="12" t="s">
        <v>1332</v>
      </c>
      <c r="E193" s="10" t="s">
        <v>1333</v>
      </c>
      <c r="F193" s="11">
        <v>1680379.0</v>
      </c>
      <c r="G193" s="10"/>
      <c r="H193" s="10" t="s">
        <v>1334</v>
      </c>
      <c r="I193" s="10" t="s">
        <v>1335</v>
      </c>
      <c r="J193" s="10" t="s">
        <v>1336</v>
      </c>
      <c r="K193" s="10" t="s">
        <v>1336</v>
      </c>
      <c r="L193" s="10" t="s">
        <v>1336</v>
      </c>
      <c r="M193" s="11">
        <v>2017.0</v>
      </c>
      <c r="N193" s="10" t="s">
        <v>1273</v>
      </c>
      <c r="O193" s="10" t="s">
        <v>1273</v>
      </c>
      <c r="P193" s="11">
        <v>6021.0</v>
      </c>
      <c r="Q193" s="11">
        <v>6035.0</v>
      </c>
      <c r="R193" s="11">
        <v>12.0</v>
      </c>
      <c r="S193" s="10"/>
      <c r="T193" s="10"/>
      <c r="U193" s="10"/>
      <c r="V193" s="4"/>
      <c r="W193" s="4"/>
      <c r="X193" s="4"/>
      <c r="Y193" s="4"/>
    </row>
    <row r="194">
      <c r="A194" s="10" t="s">
        <v>1337</v>
      </c>
      <c r="B194" s="11">
        <v>1669779.0</v>
      </c>
      <c r="C194" s="8" t="s">
        <v>20</v>
      </c>
      <c r="D194" s="12" t="s">
        <v>1338</v>
      </c>
      <c r="E194" s="10" t="s">
        <v>1339</v>
      </c>
      <c r="F194" s="11">
        <v>1669779.0</v>
      </c>
      <c r="G194" s="11">
        <v>1669779.0</v>
      </c>
      <c r="H194" s="10" t="s">
        <v>1340</v>
      </c>
      <c r="I194" s="10" t="s">
        <v>1341</v>
      </c>
      <c r="J194" s="10" t="s">
        <v>1342</v>
      </c>
      <c r="K194" s="10" t="s">
        <v>1342</v>
      </c>
      <c r="L194" s="10" t="s">
        <v>1342</v>
      </c>
      <c r="M194" s="11">
        <v>2016.0</v>
      </c>
      <c r="N194" s="10" t="s">
        <v>1343</v>
      </c>
      <c r="O194" s="10" t="s">
        <v>1343</v>
      </c>
      <c r="P194" s="11">
        <v>6321.0</v>
      </c>
      <c r="Q194" s="11">
        <v>5500.0</v>
      </c>
      <c r="R194" s="11">
        <v>22.0</v>
      </c>
      <c r="S194" s="10"/>
      <c r="T194" s="10"/>
      <c r="U194" s="10"/>
      <c r="V194" s="4"/>
      <c r="W194" s="4"/>
      <c r="X194" s="4"/>
      <c r="Y194" s="4"/>
    </row>
    <row r="195">
      <c r="A195" s="10" t="s">
        <v>1344</v>
      </c>
      <c r="B195" s="11">
        <v>1880613.0</v>
      </c>
      <c r="C195" s="8" t="s">
        <v>20</v>
      </c>
      <c r="D195" s="12" t="s">
        <v>1345</v>
      </c>
      <c r="E195" s="10" t="s">
        <v>1346</v>
      </c>
      <c r="F195" s="11">
        <v>1880613.0</v>
      </c>
      <c r="G195" s="11">
        <v>1880613.0</v>
      </c>
      <c r="H195" s="10" t="s">
        <v>1347</v>
      </c>
      <c r="I195" s="10" t="s">
        <v>1348</v>
      </c>
      <c r="J195" s="10" t="s">
        <v>1349</v>
      </c>
      <c r="K195" s="10" t="s">
        <v>1349</v>
      </c>
      <c r="L195" s="10" t="s">
        <v>1349</v>
      </c>
      <c r="M195" s="11">
        <v>2022.0</v>
      </c>
      <c r="N195" s="10" t="s">
        <v>1350</v>
      </c>
      <c r="O195" s="10" t="s">
        <v>1350</v>
      </c>
      <c r="P195" s="11">
        <v>7374.0</v>
      </c>
      <c r="Q195" s="11">
        <v>7311.0</v>
      </c>
      <c r="R195" s="11">
        <v>5.5</v>
      </c>
      <c r="S195" s="10"/>
      <c r="T195" s="10"/>
      <c r="U195" s="10"/>
      <c r="V195" s="4"/>
      <c r="W195" s="4"/>
      <c r="X195" s="4"/>
      <c r="Y195" s="4"/>
    </row>
    <row r="196">
      <c r="A196" s="10" t="s">
        <v>1351</v>
      </c>
      <c r="B196" s="11">
        <v>1360555.0</v>
      </c>
      <c r="C196" s="8" t="s">
        <v>20</v>
      </c>
      <c r="D196" s="12" t="s">
        <v>1352</v>
      </c>
      <c r="E196" s="10" t="s">
        <v>1353</v>
      </c>
      <c r="F196" s="11">
        <v>1360555.0</v>
      </c>
      <c r="G196" s="10"/>
      <c r="H196" s="10" t="s">
        <v>1354</v>
      </c>
      <c r="I196" s="10" t="s">
        <v>1355</v>
      </c>
      <c r="J196" s="10" t="s">
        <v>1356</v>
      </c>
      <c r="K196" s="10" t="s">
        <v>1357</v>
      </c>
      <c r="L196" s="10" t="s">
        <v>1356</v>
      </c>
      <c r="M196" s="11">
        <v>2006.0</v>
      </c>
      <c r="N196" s="10" t="s">
        <v>1358</v>
      </c>
      <c r="O196" s="10" t="s">
        <v>1358</v>
      </c>
      <c r="P196" s="11">
        <v>7373.0</v>
      </c>
      <c r="Q196" s="11">
        <v>7373.0</v>
      </c>
      <c r="R196" s="11">
        <v>13.0</v>
      </c>
      <c r="S196" s="10"/>
      <c r="T196" s="10"/>
      <c r="U196" s="10"/>
      <c r="V196" s="4"/>
      <c r="W196" s="4"/>
      <c r="X196" s="4"/>
      <c r="Y196" s="4"/>
    </row>
    <row r="197">
      <c r="A197" s="10" t="s">
        <v>1359</v>
      </c>
      <c r="B197" s="11">
        <v>1697532.0</v>
      </c>
      <c r="C197" s="8" t="s">
        <v>20</v>
      </c>
      <c r="D197" s="12" t="s">
        <v>1360</v>
      </c>
      <c r="E197" s="10" t="s">
        <v>1361</v>
      </c>
      <c r="F197" s="11">
        <v>1697532.0</v>
      </c>
      <c r="G197" s="11">
        <v>1697532.0</v>
      </c>
      <c r="H197" s="10" t="s">
        <v>1362</v>
      </c>
      <c r="I197" s="10" t="s">
        <v>1363</v>
      </c>
      <c r="J197" s="10" t="s">
        <v>1364</v>
      </c>
      <c r="K197" s="10" t="s">
        <v>1364</v>
      </c>
      <c r="L197" s="10" t="s">
        <v>1364</v>
      </c>
      <c r="M197" s="11">
        <v>2019.0</v>
      </c>
      <c r="N197" s="10" t="s">
        <v>1365</v>
      </c>
      <c r="O197" s="10" t="s">
        <v>1365</v>
      </c>
      <c r="P197" s="11">
        <v>8731.0</v>
      </c>
      <c r="Q197" s="11">
        <v>2836.0</v>
      </c>
      <c r="R197" s="11">
        <v>10.0</v>
      </c>
      <c r="S197" s="10"/>
      <c r="T197" s="10"/>
      <c r="U197" s="10"/>
      <c r="V197" s="4"/>
      <c r="W197" s="4"/>
      <c r="X197" s="4"/>
      <c r="Y197" s="4"/>
    </row>
    <row r="198">
      <c r="A198" s="10" t="s">
        <v>1366</v>
      </c>
      <c r="B198" s="11">
        <v>1047098.0</v>
      </c>
      <c r="C198" s="8" t="s">
        <v>20</v>
      </c>
      <c r="D198" s="12" t="s">
        <v>1367</v>
      </c>
      <c r="E198" s="10" t="s">
        <v>1368</v>
      </c>
      <c r="F198" s="11">
        <v>1047098.0</v>
      </c>
      <c r="G198" s="10"/>
      <c r="H198" s="10" t="s">
        <v>1369</v>
      </c>
      <c r="I198" s="10" t="s">
        <v>1370</v>
      </c>
      <c r="J198" s="10" t="s">
        <v>1371</v>
      </c>
      <c r="K198" s="10" t="s">
        <v>1371</v>
      </c>
      <c r="L198" s="10" t="s">
        <v>1371</v>
      </c>
      <c r="M198" s="11">
        <v>1997.0</v>
      </c>
      <c r="N198" s="10" t="s">
        <v>1372</v>
      </c>
      <c r="O198" s="10" t="s">
        <v>1372</v>
      </c>
      <c r="P198" s="11">
        <v>7349.0</v>
      </c>
      <c r="Q198" s="11">
        <v>7340.0</v>
      </c>
      <c r="R198" s="11">
        <v>9.0</v>
      </c>
      <c r="S198" s="10"/>
      <c r="T198" s="10"/>
      <c r="U198" s="10"/>
      <c r="V198" s="4"/>
      <c r="W198" s="4"/>
      <c r="X198" s="4"/>
      <c r="Y198" s="4"/>
    </row>
    <row r="199">
      <c r="A199" s="10" t="s">
        <v>1373</v>
      </c>
      <c r="B199" s="11">
        <v>1212458.0</v>
      </c>
      <c r="C199" s="8" t="s">
        <v>20</v>
      </c>
      <c r="D199" s="12" t="s">
        <v>1374</v>
      </c>
      <c r="E199" s="10" t="s">
        <v>1375</v>
      </c>
      <c r="F199" s="11">
        <v>1212458.0</v>
      </c>
      <c r="G199" s="10"/>
      <c r="H199" s="10" t="s">
        <v>1376</v>
      </c>
      <c r="I199" s="10" t="s">
        <v>1377</v>
      </c>
      <c r="J199" s="10" t="s">
        <v>1378</v>
      </c>
      <c r="K199" s="10" t="s">
        <v>1378</v>
      </c>
      <c r="L199" s="10" t="s">
        <v>1378</v>
      </c>
      <c r="M199" s="11">
        <v>2012.0</v>
      </c>
      <c r="N199" s="10" t="s">
        <v>1379</v>
      </c>
      <c r="O199" s="10" t="s">
        <v>1379</v>
      </c>
      <c r="P199" s="11">
        <v>7372.0</v>
      </c>
      <c r="Q199" s="11">
        <v>7372.0</v>
      </c>
      <c r="R199" s="11">
        <v>13.0</v>
      </c>
      <c r="S199" s="10"/>
      <c r="T199" s="10"/>
      <c r="U199" s="10"/>
      <c r="V199" s="4"/>
      <c r="W199" s="4"/>
      <c r="X199" s="4"/>
      <c r="Y199" s="4"/>
    </row>
    <row r="200">
      <c r="A200" s="10" t="s">
        <v>1380</v>
      </c>
      <c r="B200" s="11">
        <v>1074369.0</v>
      </c>
      <c r="C200" s="8" t="s">
        <v>20</v>
      </c>
      <c r="D200" s="12" t="s">
        <v>281</v>
      </c>
      <c r="E200" s="10"/>
      <c r="F200" s="10"/>
      <c r="G200" s="10"/>
      <c r="H200" s="10" t="s">
        <v>1381</v>
      </c>
      <c r="I200" s="10" t="s">
        <v>1382</v>
      </c>
      <c r="J200" s="10" t="s">
        <v>1383</v>
      </c>
      <c r="K200" s="10"/>
      <c r="L200" s="10" t="s">
        <v>1383</v>
      </c>
      <c r="M200" s="11">
        <v>1999.0</v>
      </c>
      <c r="N200" s="10"/>
      <c r="O200" s="10"/>
      <c r="P200" s="11">
        <v>6021.0</v>
      </c>
      <c r="Q200" s="10"/>
      <c r="R200" s="11">
        <v>10.0</v>
      </c>
      <c r="S200" s="10"/>
      <c r="T200" s="10"/>
      <c r="U200" s="10"/>
      <c r="V200" s="4"/>
      <c r="W200" s="4"/>
      <c r="X200" s="4"/>
      <c r="Y200" s="4"/>
    </row>
    <row r="201">
      <c r="A201" s="10" t="s">
        <v>1384</v>
      </c>
      <c r="B201" s="11">
        <v>1382821.0</v>
      </c>
      <c r="C201" s="8" t="s">
        <v>20</v>
      </c>
      <c r="D201" s="12" t="s">
        <v>1385</v>
      </c>
      <c r="E201" s="10" t="s">
        <v>1386</v>
      </c>
      <c r="F201" s="11">
        <v>1382821.0</v>
      </c>
      <c r="G201" s="11">
        <v>1382821.0</v>
      </c>
      <c r="H201" s="10" t="s">
        <v>1387</v>
      </c>
      <c r="I201" s="10" t="s">
        <v>1388</v>
      </c>
      <c r="J201" s="10" t="s">
        <v>1389</v>
      </c>
      <c r="K201" s="10" t="s">
        <v>1389</v>
      </c>
      <c r="L201" s="10" t="s">
        <v>1389</v>
      </c>
      <c r="M201" s="11">
        <v>2017.0</v>
      </c>
      <c r="N201" s="10" t="s">
        <v>1390</v>
      </c>
      <c r="O201" s="10" t="s">
        <v>1390</v>
      </c>
      <c r="P201" s="11">
        <v>6531.0</v>
      </c>
      <c r="Q201" s="11">
        <v>6531.0</v>
      </c>
      <c r="R201" s="11">
        <v>15.0</v>
      </c>
      <c r="S201" s="10"/>
      <c r="T201" s="10"/>
      <c r="U201" s="10"/>
      <c r="V201" s="4"/>
      <c r="W201" s="4"/>
      <c r="X201" s="4"/>
      <c r="Y201" s="4"/>
    </row>
    <row r="202">
      <c r="A202" s="10" t="s">
        <v>1391</v>
      </c>
      <c r="B202" s="11">
        <v>932112.0</v>
      </c>
      <c r="C202" s="8" t="s">
        <v>20</v>
      </c>
      <c r="D202" s="12" t="s">
        <v>1392</v>
      </c>
      <c r="E202" s="10"/>
      <c r="F202" s="10"/>
      <c r="G202" s="10"/>
      <c r="H202" s="10" t="s">
        <v>1393</v>
      </c>
      <c r="I202" s="10" t="s">
        <v>1394</v>
      </c>
      <c r="J202" s="10" t="s">
        <v>1395</v>
      </c>
      <c r="K202" s="10"/>
      <c r="L202" s="10" t="s">
        <v>1395</v>
      </c>
      <c r="M202" s="11">
        <v>1994.0</v>
      </c>
      <c r="N202" s="10"/>
      <c r="O202" s="10"/>
      <c r="P202" s="11">
        <v>7372.0</v>
      </c>
      <c r="Q202" s="10"/>
      <c r="R202" s="11">
        <v>10.0</v>
      </c>
      <c r="S202" s="10"/>
      <c r="T202" s="10"/>
      <c r="U202" s="10"/>
      <c r="V202" s="4"/>
      <c r="W202" s="4"/>
      <c r="X202" s="4"/>
      <c r="Y202" s="4"/>
    </row>
    <row r="203">
      <c r="A203" s="16" t="s">
        <v>1396</v>
      </c>
      <c r="B203" s="16">
        <v>1058444.0</v>
      </c>
      <c r="C203" s="8" t="s">
        <v>762</v>
      </c>
      <c r="D203" s="8" t="s">
        <v>1397</v>
      </c>
      <c r="E203" s="16" t="s">
        <v>1398</v>
      </c>
      <c r="F203" s="16">
        <v>1058444.0</v>
      </c>
      <c r="G203" s="4"/>
      <c r="H203" s="17">
        <v>1.05844400011711E16</v>
      </c>
      <c r="I203" s="16">
        <v>805423.0</v>
      </c>
      <c r="J203" s="16" t="s">
        <v>1399</v>
      </c>
      <c r="K203" s="16" t="s">
        <v>1399</v>
      </c>
      <c r="L203" s="4"/>
      <c r="M203" s="16">
        <v>2000.0</v>
      </c>
      <c r="N203" s="18">
        <v>36571.0</v>
      </c>
      <c r="O203" s="18">
        <v>36571.0</v>
      </c>
      <c r="P203" s="16">
        <v>7389.0</v>
      </c>
      <c r="Q203" s="16">
        <v>7370.0</v>
      </c>
      <c r="R203" s="16">
        <v>24.0</v>
      </c>
      <c r="S203" s="4"/>
      <c r="T203" s="4"/>
      <c r="U203" s="4"/>
      <c r="V203" s="4"/>
      <c r="W203" s="4"/>
      <c r="X203" s="4"/>
      <c r="Y203" s="4"/>
    </row>
    <row r="204">
      <c r="A204" s="16" t="s">
        <v>1400</v>
      </c>
      <c r="B204" s="16">
        <v>935495.0</v>
      </c>
      <c r="C204" s="8" t="s">
        <v>762</v>
      </c>
      <c r="D204" s="8" t="s">
        <v>1401</v>
      </c>
      <c r="E204" s="16" t="s">
        <v>1402</v>
      </c>
      <c r="F204" s="16">
        <v>935495.0</v>
      </c>
      <c r="G204" s="4"/>
      <c r="H204" s="16">
        <v>935495.0</v>
      </c>
      <c r="I204" s="16">
        <v>872423.0</v>
      </c>
      <c r="J204" s="16" t="s">
        <v>1403</v>
      </c>
      <c r="K204" s="16" t="s">
        <v>1404</v>
      </c>
      <c r="L204" s="16" t="s">
        <v>1403</v>
      </c>
      <c r="M204" s="16">
        <v>1995.0</v>
      </c>
      <c r="N204" s="18">
        <v>34758.0</v>
      </c>
      <c r="O204" s="18">
        <v>34758.0</v>
      </c>
      <c r="P204" s="16">
        <v>7372.0</v>
      </c>
      <c r="Q204" s="16">
        <v>7372.0</v>
      </c>
      <c r="R204" s="16">
        <v>16.0</v>
      </c>
      <c r="S204" s="4"/>
      <c r="T204" s="4"/>
      <c r="U204" s="4"/>
      <c r="V204" s="4"/>
      <c r="W204" s="4"/>
      <c r="X204" s="4"/>
      <c r="Y204" s="4"/>
    </row>
    <row r="205">
      <c r="A205" s="16" t="s">
        <v>1405</v>
      </c>
      <c r="B205" s="16">
        <v>1403385.0</v>
      </c>
      <c r="C205" s="8" t="s">
        <v>762</v>
      </c>
      <c r="D205" s="8" t="s">
        <v>1406</v>
      </c>
      <c r="E205" s="16" t="s">
        <v>1407</v>
      </c>
      <c r="F205" s="16">
        <v>1403385.0</v>
      </c>
      <c r="G205" s="4"/>
      <c r="H205" s="16">
        <v>1403385.0</v>
      </c>
      <c r="I205" s="16" t="s">
        <v>1408</v>
      </c>
      <c r="J205" s="16" t="s">
        <v>1409</v>
      </c>
      <c r="K205" s="16" t="s">
        <v>1409</v>
      </c>
      <c r="L205" s="16" t="s">
        <v>1409</v>
      </c>
      <c r="M205" s="16">
        <v>2010.0</v>
      </c>
      <c r="N205" s="18">
        <v>40200.0</v>
      </c>
      <c r="O205" s="18">
        <v>40200.0</v>
      </c>
      <c r="P205" s="16">
        <v>6311.0</v>
      </c>
      <c r="Q205" s="16">
        <v>6311.0</v>
      </c>
      <c r="R205" s="16">
        <v>12.0</v>
      </c>
      <c r="S205" s="4"/>
      <c r="T205" s="4"/>
      <c r="U205" s="4"/>
      <c r="V205" s="4"/>
      <c r="W205" s="4"/>
      <c r="X205" s="4"/>
      <c r="Y205" s="4"/>
    </row>
    <row r="206">
      <c r="A206" s="16" t="s">
        <v>1410</v>
      </c>
      <c r="B206" s="16">
        <v>936404.0</v>
      </c>
      <c r="C206" s="8" t="s">
        <v>762</v>
      </c>
      <c r="D206" s="8" t="s">
        <v>1411</v>
      </c>
      <c r="E206" s="16" t="s">
        <v>1412</v>
      </c>
      <c r="F206" s="16">
        <v>936404.0</v>
      </c>
      <c r="G206" s="4"/>
      <c r="H206" s="16">
        <v>936404.0</v>
      </c>
      <c r="I206" s="16">
        <v>973859.0</v>
      </c>
      <c r="J206" s="16" t="s">
        <v>1413</v>
      </c>
      <c r="K206" s="16" t="s">
        <v>1413</v>
      </c>
      <c r="L206" s="16" t="s">
        <v>1413</v>
      </c>
      <c r="M206" s="16">
        <v>1995.0</v>
      </c>
      <c r="N206" s="18">
        <v>34998.0</v>
      </c>
      <c r="O206" s="18">
        <v>34998.0</v>
      </c>
      <c r="P206" s="16">
        <v>6799.0</v>
      </c>
      <c r="Q206" s="16">
        <v>6726.0</v>
      </c>
      <c r="R206" s="16">
        <v>5.0</v>
      </c>
      <c r="S206" s="4"/>
      <c r="T206" s="4"/>
      <c r="U206" s="4"/>
      <c r="V206" s="4"/>
      <c r="W206" s="4"/>
      <c r="X206" s="4"/>
      <c r="Y206" s="4"/>
    </row>
    <row r="207">
      <c r="A207" s="16" t="s">
        <v>1414</v>
      </c>
      <c r="B207" s="16">
        <v>1057234.0</v>
      </c>
      <c r="C207" s="8" t="s">
        <v>20</v>
      </c>
      <c r="D207" s="8" t="s">
        <v>1415</v>
      </c>
      <c r="E207" s="16" t="s">
        <v>1416</v>
      </c>
      <c r="F207" s="16">
        <v>1057234.0</v>
      </c>
      <c r="G207" s="16">
        <v>1415311.0</v>
      </c>
      <c r="H207" s="16">
        <v>1057234.0</v>
      </c>
      <c r="I207" s="16">
        <v>913431.0</v>
      </c>
      <c r="J207" s="16" t="s">
        <v>1417</v>
      </c>
      <c r="K207" s="16" t="s">
        <v>1418</v>
      </c>
      <c r="L207" s="4"/>
      <c r="M207" s="16">
        <v>2000.0</v>
      </c>
      <c r="N207" s="18">
        <v>36670.0</v>
      </c>
      <c r="O207" s="18">
        <v>36670.0</v>
      </c>
      <c r="P207" s="16">
        <v>7359.0</v>
      </c>
      <c r="Q207" s="16">
        <v>7359.0</v>
      </c>
      <c r="R207" s="16">
        <v>22.0</v>
      </c>
      <c r="S207" s="4"/>
      <c r="T207" s="4"/>
      <c r="U207" s="4"/>
      <c r="V207" s="4"/>
      <c r="W207" s="4"/>
      <c r="X207" s="4"/>
      <c r="Y207" s="4"/>
    </row>
    <row r="208">
      <c r="A208" s="16" t="s">
        <v>1419</v>
      </c>
      <c r="B208" s="16">
        <v>1068796.0</v>
      </c>
      <c r="C208" s="8" t="s">
        <v>20</v>
      </c>
      <c r="D208" s="8" t="s">
        <v>1420</v>
      </c>
      <c r="E208" s="16" t="s">
        <v>1421</v>
      </c>
      <c r="F208" s="16">
        <v>1068796.0</v>
      </c>
      <c r="G208" s="4"/>
      <c r="H208" s="16">
        <v>1068796.0</v>
      </c>
      <c r="I208" s="16">
        <v>577776.0</v>
      </c>
      <c r="J208" s="16" t="s">
        <v>1422</v>
      </c>
      <c r="K208" s="16" t="s">
        <v>1422</v>
      </c>
      <c r="L208" s="16" t="s">
        <v>1422</v>
      </c>
      <c r="M208" s="16">
        <v>1999.0</v>
      </c>
      <c r="N208" s="18">
        <v>36510.0</v>
      </c>
      <c r="O208" s="18">
        <v>36510.0</v>
      </c>
      <c r="P208" s="16">
        <v>8731.0</v>
      </c>
      <c r="Q208" s="16">
        <v>2836.0</v>
      </c>
      <c r="R208" s="16">
        <v>16.0</v>
      </c>
      <c r="S208" s="4"/>
      <c r="T208" s="4"/>
      <c r="U208" s="4"/>
      <c r="V208" s="4"/>
      <c r="W208" s="4"/>
      <c r="X208" s="4"/>
      <c r="Y208" s="4"/>
    </row>
    <row r="209">
      <c r="A209" s="16" t="s">
        <v>1423</v>
      </c>
      <c r="B209" s="16">
        <v>1581091.0</v>
      </c>
      <c r="C209" s="8" t="s">
        <v>762</v>
      </c>
      <c r="D209" s="8" t="s">
        <v>1424</v>
      </c>
      <c r="E209" s="16" t="s">
        <v>1425</v>
      </c>
      <c r="F209" s="16">
        <v>1581091.0</v>
      </c>
      <c r="G209" s="16">
        <v>1581091.0</v>
      </c>
      <c r="H209" s="16">
        <v>1581091.0</v>
      </c>
      <c r="I209" s="16" t="s">
        <v>1426</v>
      </c>
      <c r="J209" s="16" t="s">
        <v>1427</v>
      </c>
      <c r="K209" s="16" t="s">
        <v>1427</v>
      </c>
      <c r="L209" s="4"/>
      <c r="M209" s="16">
        <v>2013.0</v>
      </c>
      <c r="N209" s="18">
        <v>41549.0</v>
      </c>
      <c r="O209" s="18">
        <v>41549.0</v>
      </c>
      <c r="P209" s="16">
        <v>6531.0</v>
      </c>
      <c r="Q209" s="16">
        <v>6531.0</v>
      </c>
      <c r="R209" s="16">
        <v>22.0</v>
      </c>
      <c r="S209" s="4"/>
      <c r="T209" s="4"/>
      <c r="U209" s="4"/>
      <c r="V209" s="4"/>
      <c r="W209" s="4"/>
      <c r="X209" s="4"/>
      <c r="Y209" s="4"/>
    </row>
    <row r="210">
      <c r="A210" s="16" t="s">
        <v>1428</v>
      </c>
      <c r="B210" s="16">
        <v>1021226.0</v>
      </c>
      <c r="C210" s="8" t="s">
        <v>762</v>
      </c>
      <c r="D210" s="8" t="s">
        <v>1429</v>
      </c>
      <c r="E210" s="4"/>
      <c r="F210" s="4"/>
      <c r="G210" s="4"/>
      <c r="H210" s="16">
        <v>1021226.0</v>
      </c>
      <c r="I210" s="16" t="s">
        <v>1430</v>
      </c>
      <c r="J210" s="16" t="s">
        <v>1431</v>
      </c>
      <c r="K210" s="4"/>
      <c r="L210" s="16">
        <v>4360.0</v>
      </c>
      <c r="M210" s="16">
        <v>1997.0</v>
      </c>
      <c r="N210" s="4"/>
      <c r="O210" s="4"/>
      <c r="P210" s="16">
        <v>7371.0</v>
      </c>
      <c r="Q210" s="4"/>
      <c r="R210" s="16">
        <v>6.0</v>
      </c>
      <c r="S210" s="4"/>
      <c r="T210" s="4"/>
      <c r="U210" s="4"/>
      <c r="V210" s="4"/>
      <c r="W210" s="4"/>
      <c r="X210" s="4"/>
      <c r="Y210" s="4"/>
    </row>
    <row r="211">
      <c r="A211" s="16" t="s">
        <v>1432</v>
      </c>
      <c r="B211" s="16">
        <v>724470.0</v>
      </c>
      <c r="C211" s="8" t="s">
        <v>762</v>
      </c>
      <c r="D211" s="8" t="s">
        <v>1433</v>
      </c>
      <c r="E211" s="16" t="s">
        <v>1434</v>
      </c>
      <c r="F211" s="16">
        <v>724470.0</v>
      </c>
      <c r="G211" s="4"/>
      <c r="H211" s="17">
        <v>7.24470000195222E15</v>
      </c>
      <c r="I211" s="16">
        <v>591003.0</v>
      </c>
      <c r="J211" s="16" t="s">
        <v>1435</v>
      </c>
      <c r="K211" s="16" t="s">
        <v>1435</v>
      </c>
      <c r="L211" s="16" t="s">
        <v>1435</v>
      </c>
      <c r="M211" s="16">
        <v>1995.0</v>
      </c>
      <c r="N211" s="18">
        <v>35010.0</v>
      </c>
      <c r="O211" s="18">
        <v>35010.0</v>
      </c>
      <c r="P211" s="16">
        <v>7372.0</v>
      </c>
      <c r="Q211" s="16">
        <v>7372.0</v>
      </c>
      <c r="R211" s="16">
        <v>12.0</v>
      </c>
      <c r="S211" s="4"/>
      <c r="T211" s="4"/>
      <c r="U211" s="4"/>
      <c r="V211" s="4"/>
      <c r="W211" s="4"/>
      <c r="X211" s="4"/>
      <c r="Y211" s="4"/>
    </row>
    <row r="212">
      <c r="A212" s="16" t="s">
        <v>1436</v>
      </c>
      <c r="B212" s="16">
        <v>1096473.0</v>
      </c>
      <c r="C212" s="8" t="s">
        <v>20</v>
      </c>
      <c r="D212" s="8" t="s">
        <v>1437</v>
      </c>
      <c r="E212" s="16" t="s">
        <v>1438</v>
      </c>
      <c r="F212" s="16">
        <v>1096473.0</v>
      </c>
      <c r="G212" s="4"/>
      <c r="H212" s="16">
        <v>1096473.0</v>
      </c>
      <c r="I212" s="16">
        <v>302255.0</v>
      </c>
      <c r="J212" s="16" t="s">
        <v>1439</v>
      </c>
      <c r="K212" s="16" t="s">
        <v>1440</v>
      </c>
      <c r="L212" s="16" t="s">
        <v>1439</v>
      </c>
      <c r="M212" s="16">
        <v>2000.0</v>
      </c>
      <c r="N212" s="18">
        <v>36552.0</v>
      </c>
      <c r="O212" s="18">
        <v>36552.0</v>
      </c>
      <c r="P212" s="16">
        <v>7372.0</v>
      </c>
      <c r="Q212" s="16">
        <v>7372.0</v>
      </c>
      <c r="R212" s="16">
        <v>20.0</v>
      </c>
      <c r="S212" s="4"/>
      <c r="T212" s="4"/>
      <c r="U212" s="4"/>
      <c r="V212" s="4"/>
      <c r="W212" s="4"/>
      <c r="X212" s="4"/>
      <c r="Y212" s="4"/>
    </row>
    <row r="213">
      <c r="A213" s="16" t="s">
        <v>1441</v>
      </c>
      <c r="B213" s="16">
        <v>1493182.0</v>
      </c>
      <c r="C213" s="8" t="s">
        <v>20</v>
      </c>
      <c r="D213" s="8" t="s">
        <v>1442</v>
      </c>
      <c r="E213" s="16" t="s">
        <v>1443</v>
      </c>
      <c r="F213" s="16">
        <v>1493182.0</v>
      </c>
      <c r="G213" s="4"/>
      <c r="H213" s="16">
        <v>1493182.0</v>
      </c>
      <c r="I213" s="16" t="s">
        <v>1444</v>
      </c>
      <c r="J213" s="16" t="s">
        <v>1445</v>
      </c>
      <c r="K213" s="16" t="s">
        <v>1446</v>
      </c>
      <c r="L213" s="16" t="s">
        <v>1445</v>
      </c>
      <c r="M213" s="16">
        <v>2010.0</v>
      </c>
      <c r="N213" s="18">
        <v>40483.0</v>
      </c>
      <c r="O213" s="18">
        <v>40483.0</v>
      </c>
      <c r="P213" s="16">
        <v>6021.0</v>
      </c>
      <c r="Q213" s="16">
        <v>6035.0</v>
      </c>
      <c r="R213" s="16">
        <v>10.0</v>
      </c>
      <c r="S213" s="4"/>
      <c r="T213" s="4"/>
      <c r="U213" s="4"/>
      <c r="V213" s="4"/>
      <c r="W213" s="4"/>
      <c r="X213" s="4"/>
      <c r="Y213" s="4"/>
    </row>
    <row r="214">
      <c r="A214" s="16" t="s">
        <v>1447</v>
      </c>
      <c r="B214" s="16">
        <v>925538.0</v>
      </c>
      <c r="C214" s="8" t="s">
        <v>20</v>
      </c>
      <c r="D214" s="8" t="s">
        <v>1448</v>
      </c>
      <c r="E214" s="16" t="s">
        <v>1449</v>
      </c>
      <c r="F214" s="16">
        <v>925538.0</v>
      </c>
      <c r="G214" s="4"/>
      <c r="H214" s="16">
        <v>925538.0</v>
      </c>
      <c r="I214" s="16">
        <v>544183.0</v>
      </c>
      <c r="J214" s="16" t="s">
        <v>1450</v>
      </c>
      <c r="K214" s="16" t="s">
        <v>1450</v>
      </c>
      <c r="L214" s="16" t="s">
        <v>1450</v>
      </c>
      <c r="M214" s="16">
        <v>1994.0</v>
      </c>
      <c r="N214" s="18">
        <v>34570.0</v>
      </c>
      <c r="O214" s="18">
        <v>34570.0</v>
      </c>
      <c r="P214" s="16">
        <v>7372.0</v>
      </c>
      <c r="Q214" s="16">
        <v>7373.0</v>
      </c>
      <c r="R214" s="16">
        <v>6.0</v>
      </c>
      <c r="S214" s="4"/>
      <c r="T214" s="4"/>
      <c r="U214" s="4"/>
      <c r="V214" s="4"/>
      <c r="W214" s="4"/>
      <c r="X214" s="4"/>
      <c r="Y214" s="4"/>
    </row>
    <row r="215">
      <c r="A215" s="16" t="s">
        <v>1451</v>
      </c>
      <c r="B215" s="16">
        <v>1783032.0</v>
      </c>
      <c r="C215" s="8" t="s">
        <v>20</v>
      </c>
      <c r="D215" s="8" t="s">
        <v>1452</v>
      </c>
      <c r="E215" s="16" t="s">
        <v>1453</v>
      </c>
      <c r="F215" s="16">
        <v>1783032.0</v>
      </c>
      <c r="G215" s="16">
        <v>1783032.0</v>
      </c>
      <c r="H215" s="16">
        <v>1783032.0</v>
      </c>
      <c r="I215" s="16" t="s">
        <v>1454</v>
      </c>
      <c r="J215" s="16" t="s">
        <v>1455</v>
      </c>
      <c r="K215" s="16" t="s">
        <v>1455</v>
      </c>
      <c r="L215" s="16" t="s">
        <v>1455</v>
      </c>
      <c r="M215" s="16">
        <v>2021.0</v>
      </c>
      <c r="N215" s="18">
        <v>44372.0</v>
      </c>
      <c r="O215" s="18">
        <v>44372.0</v>
      </c>
      <c r="P215" s="16">
        <v>8731.0</v>
      </c>
      <c r="Q215" s="16">
        <v>2836.0</v>
      </c>
      <c r="R215" s="16">
        <v>16.0</v>
      </c>
      <c r="S215" s="4"/>
      <c r="T215" s="4"/>
      <c r="U215" s="4"/>
      <c r="V215" s="4"/>
      <c r="W215" s="4"/>
      <c r="X215" s="4"/>
      <c r="Y215" s="4"/>
    </row>
    <row r="216">
      <c r="A216" s="16" t="s">
        <v>1456</v>
      </c>
      <c r="B216" s="16">
        <v>1277141.0</v>
      </c>
      <c r="C216" s="8" t="s">
        <v>20</v>
      </c>
      <c r="D216" s="8" t="s">
        <v>1457</v>
      </c>
      <c r="E216" s="16" t="s">
        <v>1458</v>
      </c>
      <c r="F216" s="16">
        <v>1277141.0</v>
      </c>
      <c r="G216" s="4"/>
      <c r="H216" s="16">
        <v>1277141.0</v>
      </c>
      <c r="I216" s="16" t="s">
        <v>1459</v>
      </c>
      <c r="J216" s="16" t="s">
        <v>1460</v>
      </c>
      <c r="K216" s="16" t="s">
        <v>1460</v>
      </c>
      <c r="L216" s="16" t="s">
        <v>1460</v>
      </c>
      <c r="M216" s="16">
        <v>2014.0</v>
      </c>
      <c r="N216" s="18">
        <v>41719.0</v>
      </c>
      <c r="O216" s="18">
        <v>41719.0</v>
      </c>
      <c r="P216" s="16">
        <v>7389.0</v>
      </c>
      <c r="Q216" s="16">
        <v>7370.0</v>
      </c>
      <c r="R216" s="16">
        <v>16.0</v>
      </c>
      <c r="S216" s="4"/>
      <c r="T216" s="4"/>
      <c r="U216" s="4"/>
      <c r="V216" s="4"/>
      <c r="W216" s="4"/>
      <c r="X216" s="4"/>
      <c r="Y216" s="4"/>
    </row>
    <row r="217">
      <c r="A217" s="16" t="s">
        <v>1461</v>
      </c>
      <c r="B217" s="16">
        <v>1538210.0</v>
      </c>
      <c r="C217" s="8" t="s">
        <v>20</v>
      </c>
      <c r="D217" s="8" t="s">
        <v>1462</v>
      </c>
      <c r="E217" s="16" t="s">
        <v>1463</v>
      </c>
      <c r="F217" s="16">
        <v>1538210.0</v>
      </c>
      <c r="G217" s="4"/>
      <c r="H217" s="16">
        <v>1538210.0</v>
      </c>
      <c r="I217" s="16" t="s">
        <v>1464</v>
      </c>
      <c r="J217" s="16" t="s">
        <v>1465</v>
      </c>
      <c r="K217" s="16" t="s">
        <v>1465</v>
      </c>
      <c r="L217" s="16" t="s">
        <v>1465</v>
      </c>
      <c r="M217" s="16">
        <v>2021.0</v>
      </c>
      <c r="N217" s="18">
        <v>44239.0</v>
      </c>
      <c r="O217" s="18">
        <v>44239.0</v>
      </c>
      <c r="P217" s="16">
        <v>8731.0</v>
      </c>
      <c r="Q217" s="16">
        <v>2836.0</v>
      </c>
      <c r="R217" s="16">
        <v>17.0</v>
      </c>
      <c r="S217" s="4"/>
      <c r="T217" s="4"/>
      <c r="U217" s="4"/>
      <c r="V217" s="4"/>
      <c r="W217" s="4"/>
      <c r="X217" s="4"/>
      <c r="Y217" s="4"/>
    </row>
    <row r="218">
      <c r="A218" s="16" t="s">
        <v>1466</v>
      </c>
      <c r="B218" s="16">
        <v>1754068.0</v>
      </c>
      <c r="C218" s="8" t="s">
        <v>20</v>
      </c>
      <c r="D218" s="8" t="s">
        <v>1467</v>
      </c>
      <c r="E218" s="4"/>
      <c r="F218" s="4"/>
      <c r="G218" s="4"/>
      <c r="H218" s="16">
        <v>1754068.0</v>
      </c>
      <c r="I218" s="16">
        <v>19818.0</v>
      </c>
      <c r="J218" s="16" t="s">
        <v>1468</v>
      </c>
      <c r="K218" s="4"/>
      <c r="L218" s="16" t="s">
        <v>1468</v>
      </c>
      <c r="M218" s="16">
        <v>2020.0</v>
      </c>
      <c r="N218" s="4"/>
      <c r="O218" s="4"/>
      <c r="P218" s="16">
        <v>8731.0</v>
      </c>
      <c r="Q218" s="4"/>
      <c r="R218" s="16">
        <v>17.0</v>
      </c>
      <c r="S218" s="4"/>
      <c r="T218" s="4"/>
      <c r="U218" s="4"/>
      <c r="V218" s="4"/>
      <c r="W218" s="4"/>
      <c r="X218" s="4"/>
      <c r="Y218" s="4"/>
    </row>
    <row r="219">
      <c r="A219" s="16" t="s">
        <v>1469</v>
      </c>
      <c r="B219" s="16">
        <v>1295230.0</v>
      </c>
      <c r="C219" s="8" t="s">
        <v>762</v>
      </c>
      <c r="D219" s="8" t="s">
        <v>1470</v>
      </c>
      <c r="E219" s="16" t="s">
        <v>1471</v>
      </c>
      <c r="F219" s="16">
        <v>1295230.0</v>
      </c>
      <c r="G219" s="4"/>
      <c r="H219" s="16">
        <v>1295230.0</v>
      </c>
      <c r="I219" s="16" t="s">
        <v>1472</v>
      </c>
      <c r="J219" s="16" t="s">
        <v>1473</v>
      </c>
      <c r="K219" s="16" t="s">
        <v>1473</v>
      </c>
      <c r="L219" s="16" t="s">
        <v>1473</v>
      </c>
      <c r="M219" s="16">
        <v>2005.0</v>
      </c>
      <c r="N219" s="18">
        <v>38420.0</v>
      </c>
      <c r="O219" s="18">
        <v>38420.0</v>
      </c>
      <c r="P219" s="16">
        <v>6231.0</v>
      </c>
      <c r="Q219" s="16">
        <v>6200.0</v>
      </c>
      <c r="R219" s="16">
        <v>18.0</v>
      </c>
      <c r="S219" s="4"/>
      <c r="T219" s="4"/>
      <c r="U219" s="4"/>
      <c r="V219" s="4"/>
      <c r="W219" s="4"/>
      <c r="X219" s="4"/>
      <c r="Y219" s="4"/>
    </row>
    <row r="220">
      <c r="A220" s="16" t="s">
        <v>1474</v>
      </c>
      <c r="B220" s="16">
        <v>1124140.0</v>
      </c>
      <c r="C220" s="8" t="s">
        <v>20</v>
      </c>
      <c r="D220" s="8" t="s">
        <v>1475</v>
      </c>
      <c r="E220" s="16" t="s">
        <v>1476</v>
      </c>
      <c r="F220" s="16">
        <v>1124140.0</v>
      </c>
      <c r="G220" s="16">
        <v>1124140.0</v>
      </c>
      <c r="H220" s="16">
        <v>1124140.0</v>
      </c>
      <c r="I220" s="16" t="s">
        <v>1477</v>
      </c>
      <c r="J220" s="16" t="s">
        <v>1478</v>
      </c>
      <c r="K220" s="16" t="s">
        <v>1478</v>
      </c>
      <c r="L220" s="16" t="s">
        <v>1478</v>
      </c>
      <c r="M220" s="16">
        <v>2001.0</v>
      </c>
      <c r="N220" s="18">
        <v>36922.0</v>
      </c>
      <c r="O220" s="18">
        <v>36922.0</v>
      </c>
      <c r="P220" s="16">
        <v>8731.0</v>
      </c>
      <c r="Q220" s="16">
        <v>8731.0</v>
      </c>
      <c r="R220" s="16">
        <v>14.0</v>
      </c>
      <c r="S220" s="4"/>
      <c r="T220" s="4"/>
      <c r="U220" s="4"/>
      <c r="V220" s="4"/>
      <c r="W220" s="4"/>
      <c r="X220" s="4"/>
      <c r="Y220" s="4"/>
    </row>
    <row r="221">
      <c r="A221" s="16" t="s">
        <v>1479</v>
      </c>
      <c r="B221" s="16">
        <v>1028285.0</v>
      </c>
      <c r="C221" s="8" t="s">
        <v>20</v>
      </c>
      <c r="D221" s="8" t="s">
        <v>1480</v>
      </c>
      <c r="E221" s="16" t="s">
        <v>1481</v>
      </c>
      <c r="F221" s="16">
        <v>1028285.0</v>
      </c>
      <c r="G221" s="4"/>
      <c r="H221" s="16">
        <v>1028285.0</v>
      </c>
      <c r="I221" s="16">
        <v>220406.0</v>
      </c>
      <c r="J221" s="16" t="s">
        <v>1482</v>
      </c>
      <c r="K221" s="16" t="s">
        <v>1482</v>
      </c>
      <c r="L221" s="16" t="s">
        <v>1482</v>
      </c>
      <c r="M221" s="16">
        <v>1997.0</v>
      </c>
      <c r="N221" s="18">
        <v>35641.0</v>
      </c>
      <c r="O221" s="18">
        <v>35641.0</v>
      </c>
      <c r="P221" s="16">
        <v>7373.0</v>
      </c>
      <c r="Q221" s="16">
        <v>7373.0</v>
      </c>
      <c r="R221" s="16">
        <v>15.0</v>
      </c>
      <c r="S221" s="4"/>
      <c r="T221" s="4"/>
      <c r="U221" s="4"/>
      <c r="V221" s="4"/>
      <c r="W221" s="4"/>
      <c r="X221" s="4"/>
      <c r="Y221" s="4"/>
    </row>
    <row r="222">
      <c r="A222" s="16" t="s">
        <v>1483</v>
      </c>
      <c r="B222" s="16">
        <v>945437.0</v>
      </c>
      <c r="C222" s="8" t="s">
        <v>20</v>
      </c>
      <c r="D222" s="8" t="s">
        <v>1484</v>
      </c>
      <c r="E222" s="16" t="s">
        <v>1485</v>
      </c>
      <c r="F222" s="16">
        <v>945437.0</v>
      </c>
      <c r="G222" s="4"/>
      <c r="H222" s="16">
        <v>945437.0</v>
      </c>
      <c r="I222" s="16" t="s">
        <v>1486</v>
      </c>
      <c r="J222" s="16" t="s">
        <v>1487</v>
      </c>
      <c r="K222" s="16" t="s">
        <v>1487</v>
      </c>
      <c r="L222" s="16" t="s">
        <v>1487</v>
      </c>
      <c r="M222" s="16">
        <v>1995.0</v>
      </c>
      <c r="N222" s="18">
        <v>34877.0</v>
      </c>
      <c r="O222" s="18">
        <v>34877.0</v>
      </c>
      <c r="P222" s="16">
        <v>7363.0</v>
      </c>
      <c r="Q222" s="16">
        <v>7363.0</v>
      </c>
      <c r="R222" s="16">
        <v>6.5</v>
      </c>
      <c r="S222" s="4"/>
      <c r="T222" s="4"/>
      <c r="U222" s="4"/>
      <c r="V222" s="4"/>
      <c r="W222" s="4"/>
      <c r="X222" s="4"/>
      <c r="Y222" s="4"/>
    </row>
    <row r="223">
      <c r="A223" s="16" t="s">
        <v>1488</v>
      </c>
      <c r="B223" s="16">
        <v>1093513.0</v>
      </c>
      <c r="C223" s="8" t="s">
        <v>20</v>
      </c>
      <c r="D223" s="8" t="s">
        <v>1489</v>
      </c>
      <c r="E223" s="16" t="s">
        <v>1490</v>
      </c>
      <c r="F223" s="16">
        <v>1093513.0</v>
      </c>
      <c r="G223" s="16">
        <v>1646188.0</v>
      </c>
      <c r="H223" s="16">
        <v>1093513.0</v>
      </c>
      <c r="I223" s="16" t="s">
        <v>1491</v>
      </c>
      <c r="J223" s="16" t="s">
        <v>1492</v>
      </c>
      <c r="K223" s="16" t="s">
        <v>1493</v>
      </c>
      <c r="L223" s="16" t="s">
        <v>1492</v>
      </c>
      <c r="M223" s="16">
        <v>1999.0</v>
      </c>
      <c r="N223" s="18">
        <v>36509.0</v>
      </c>
      <c r="O223" s="18">
        <v>36509.0</v>
      </c>
      <c r="P223" s="16">
        <v>7372.0</v>
      </c>
      <c r="Q223" s="16">
        <v>7372.0</v>
      </c>
      <c r="R223" s="16">
        <v>28.0</v>
      </c>
      <c r="S223" s="4"/>
      <c r="T223" s="4"/>
      <c r="U223" s="4"/>
      <c r="V223" s="4"/>
      <c r="W223" s="4"/>
      <c r="X223" s="4"/>
      <c r="Y223" s="4"/>
    </row>
    <row r="224">
      <c r="A224" s="16" t="s">
        <v>1494</v>
      </c>
      <c r="B224" s="16">
        <v>895541.0</v>
      </c>
      <c r="C224" s="8" t="s">
        <v>20</v>
      </c>
      <c r="D224" s="8" t="s">
        <v>1495</v>
      </c>
      <c r="E224" s="16" t="s">
        <v>1496</v>
      </c>
      <c r="F224" s="16">
        <v>895541.0</v>
      </c>
      <c r="G224" s="4"/>
      <c r="H224" s="16">
        <v>895541.0</v>
      </c>
      <c r="I224" s="16" t="s">
        <v>1497</v>
      </c>
      <c r="J224" s="16" t="s">
        <v>1498</v>
      </c>
      <c r="K224" s="16" t="s">
        <v>1498</v>
      </c>
      <c r="L224" s="16" t="s">
        <v>1498</v>
      </c>
      <c r="M224" s="16">
        <v>1998.0</v>
      </c>
      <c r="N224" s="18">
        <v>35894.0</v>
      </c>
      <c r="O224" s="18">
        <v>35894.0</v>
      </c>
      <c r="P224" s="16">
        <v>6022.0</v>
      </c>
      <c r="Q224" s="16">
        <v>6020.0</v>
      </c>
      <c r="R224" s="16">
        <v>14.0</v>
      </c>
      <c r="S224" s="4"/>
      <c r="T224" s="4"/>
      <c r="U224" s="4"/>
      <c r="V224" s="4"/>
      <c r="W224" s="4"/>
      <c r="X224" s="4"/>
      <c r="Y224" s="4"/>
    </row>
    <row r="225">
      <c r="A225" s="16" t="s">
        <v>1499</v>
      </c>
      <c r="B225" s="16">
        <v>1595893.0</v>
      </c>
      <c r="C225" s="8" t="s">
        <v>20</v>
      </c>
      <c r="D225" s="8" t="s">
        <v>1500</v>
      </c>
      <c r="E225" s="16" t="s">
        <v>1501</v>
      </c>
      <c r="F225" s="16">
        <v>1595893.0</v>
      </c>
      <c r="G225" s="4"/>
      <c r="H225" s="16">
        <v>1595893.0</v>
      </c>
      <c r="I225" s="16" t="s">
        <v>1502</v>
      </c>
      <c r="J225" s="16" t="s">
        <v>1503</v>
      </c>
      <c r="K225" s="16" t="s">
        <v>1503</v>
      </c>
      <c r="L225" s="16" t="s">
        <v>1503</v>
      </c>
      <c r="M225" s="16">
        <v>2019.0</v>
      </c>
      <c r="N225" s="18">
        <v>43572.0</v>
      </c>
      <c r="O225" s="18">
        <v>43572.0</v>
      </c>
      <c r="P225" s="16">
        <v>8731.0</v>
      </c>
      <c r="Q225" s="16">
        <v>2836.0</v>
      </c>
      <c r="R225" s="16">
        <v>18.0</v>
      </c>
      <c r="S225" s="4"/>
      <c r="T225" s="4"/>
      <c r="U225" s="4"/>
      <c r="V225" s="4"/>
      <c r="W225" s="4"/>
      <c r="X225" s="4"/>
      <c r="Y225" s="4"/>
    </row>
    <row r="226">
      <c r="A226" s="16" t="s">
        <v>1504</v>
      </c>
      <c r="B226" s="16">
        <v>1107257.0</v>
      </c>
      <c r="C226" s="8" t="s">
        <v>20</v>
      </c>
      <c r="D226" s="8" t="s">
        <v>1505</v>
      </c>
      <c r="E226" s="16" t="s">
        <v>1506</v>
      </c>
      <c r="F226" s="16">
        <v>1107257.0</v>
      </c>
      <c r="G226" s="4"/>
      <c r="H226" s="16">
        <v>1107257.0</v>
      </c>
      <c r="I226" s="16" t="s">
        <v>1507</v>
      </c>
      <c r="J226" s="16" t="s">
        <v>1508</v>
      </c>
      <c r="K226" s="16" t="s">
        <v>1509</v>
      </c>
      <c r="L226" s="16" t="s">
        <v>1508</v>
      </c>
      <c r="M226" s="16">
        <v>2000.0</v>
      </c>
      <c r="N226" s="4"/>
      <c r="O226" s="4"/>
      <c r="P226" s="16">
        <v>6022.0</v>
      </c>
      <c r="Q226" s="16">
        <v>6020.0</v>
      </c>
      <c r="R226" s="16">
        <v>8.5</v>
      </c>
      <c r="S226" s="4"/>
      <c r="T226" s="4"/>
      <c r="U226" s="4"/>
      <c r="V226" s="4"/>
      <c r="W226" s="4"/>
      <c r="X226" s="4"/>
      <c r="Y226" s="4"/>
    </row>
    <row r="227">
      <c r="A227" s="16" t="s">
        <v>1510</v>
      </c>
      <c r="B227" s="16">
        <v>1103126.0</v>
      </c>
      <c r="C227" s="8" t="s">
        <v>20</v>
      </c>
      <c r="D227" s="8" t="s">
        <v>1511</v>
      </c>
      <c r="E227" s="4"/>
      <c r="F227" s="4"/>
      <c r="G227" s="4"/>
      <c r="H227" s="16">
        <v>1103126.0</v>
      </c>
      <c r="I227" s="16">
        <v>942712.0</v>
      </c>
      <c r="J227" s="16" t="s">
        <v>1512</v>
      </c>
      <c r="K227" s="4"/>
      <c r="L227" s="16" t="s">
        <v>1512</v>
      </c>
      <c r="M227" s="16">
        <v>2000.0</v>
      </c>
      <c r="N227" s="4"/>
      <c r="O227" s="4"/>
      <c r="P227" s="16">
        <v>8742.0</v>
      </c>
      <c r="Q227" s="4"/>
      <c r="R227" s="16">
        <v>12.5</v>
      </c>
      <c r="S227" s="4"/>
      <c r="T227" s="4"/>
      <c r="U227" s="4"/>
      <c r="V227" s="4"/>
      <c r="W227" s="4"/>
      <c r="X227" s="4"/>
      <c r="Y227" s="4"/>
    </row>
    <row r="228">
      <c r="A228" s="16" t="s">
        <v>1513</v>
      </c>
      <c r="B228" s="16">
        <v>1048695.0</v>
      </c>
      <c r="C228" s="8" t="s">
        <v>20</v>
      </c>
      <c r="D228" s="8" t="s">
        <v>1514</v>
      </c>
      <c r="E228" s="16" t="s">
        <v>1515</v>
      </c>
      <c r="F228" s="16">
        <v>1048695.0</v>
      </c>
      <c r="G228" s="16">
        <v>1048695.0</v>
      </c>
      <c r="H228" s="17">
        <v>1.04869500010486E16</v>
      </c>
      <c r="I228" s="16">
        <v>315616.0</v>
      </c>
      <c r="J228" s="16" t="s">
        <v>1516</v>
      </c>
      <c r="K228" s="16" t="s">
        <v>1516</v>
      </c>
      <c r="L228" s="16" t="s">
        <v>1516</v>
      </c>
      <c r="M228" s="16">
        <v>1999.0</v>
      </c>
      <c r="N228" s="18">
        <v>36315.0</v>
      </c>
      <c r="O228" s="18">
        <v>36315.0</v>
      </c>
      <c r="P228" s="16">
        <v>7372.0</v>
      </c>
      <c r="Q228" s="16">
        <v>7373.0</v>
      </c>
      <c r="R228" s="16">
        <v>10.0</v>
      </c>
      <c r="S228" s="4"/>
      <c r="T228" s="4"/>
      <c r="U228" s="4"/>
      <c r="V228" s="4"/>
      <c r="W228" s="4"/>
      <c r="X228" s="4"/>
      <c r="Y228" s="4"/>
    </row>
    <row r="229">
      <c r="A229" s="16" t="s">
        <v>1517</v>
      </c>
      <c r="B229" s="16">
        <v>938481.0</v>
      </c>
      <c r="C229" s="8" t="s">
        <v>20</v>
      </c>
      <c r="D229" s="8" t="s">
        <v>1518</v>
      </c>
      <c r="E229" s="16" t="s">
        <v>1519</v>
      </c>
      <c r="F229" s="16">
        <v>938481.0</v>
      </c>
      <c r="G229" s="4"/>
      <c r="H229" s="16">
        <v>938481.0</v>
      </c>
      <c r="I229" s="16">
        <v>238124.0</v>
      </c>
      <c r="J229" s="16" t="s">
        <v>1520</v>
      </c>
      <c r="K229" s="16" t="s">
        <v>1520</v>
      </c>
      <c r="L229" s="16" t="s">
        <v>1520</v>
      </c>
      <c r="M229" s="16">
        <v>1995.0</v>
      </c>
      <c r="N229" s="18">
        <v>34787.0</v>
      </c>
      <c r="O229" s="18">
        <v>34787.0</v>
      </c>
      <c r="P229" s="16">
        <v>7372.0</v>
      </c>
      <c r="Q229" s="16">
        <v>7372.0</v>
      </c>
      <c r="R229" s="16">
        <v>15.0</v>
      </c>
      <c r="S229" s="4"/>
      <c r="T229" s="4"/>
      <c r="U229" s="4"/>
      <c r="V229" s="4"/>
      <c r="W229" s="4"/>
      <c r="X229" s="4"/>
      <c r="Y229" s="4"/>
    </row>
    <row r="230">
      <c r="A230" s="16" t="s">
        <v>1521</v>
      </c>
      <c r="B230" s="16">
        <v>1073475.0</v>
      </c>
      <c r="C230" s="8" t="s">
        <v>20</v>
      </c>
      <c r="D230" s="8" t="s">
        <v>1522</v>
      </c>
      <c r="E230" s="16" t="s">
        <v>1523</v>
      </c>
      <c r="F230" s="16">
        <v>1073475.0</v>
      </c>
      <c r="G230" s="4"/>
      <c r="H230" s="16">
        <v>1073475.0</v>
      </c>
      <c r="I230" s="16" t="s">
        <v>1524</v>
      </c>
      <c r="J230" s="16" t="s">
        <v>1525</v>
      </c>
      <c r="K230" s="16" t="s">
        <v>1525</v>
      </c>
      <c r="L230" s="16" t="s">
        <v>1525</v>
      </c>
      <c r="M230" s="16">
        <v>1999.0</v>
      </c>
      <c r="N230" s="18">
        <v>36189.0</v>
      </c>
      <c r="O230" s="18">
        <v>36189.0</v>
      </c>
      <c r="P230" s="16">
        <v>6021.0</v>
      </c>
      <c r="Q230" s="16">
        <v>6020.0</v>
      </c>
      <c r="R230" s="16">
        <v>15.0</v>
      </c>
      <c r="S230" s="4"/>
      <c r="T230" s="4"/>
      <c r="U230" s="4"/>
      <c r="V230" s="4"/>
      <c r="W230" s="4"/>
      <c r="X230" s="4"/>
      <c r="Y230" s="4"/>
    </row>
    <row r="231">
      <c r="A231" s="16" t="s">
        <v>1526</v>
      </c>
      <c r="B231" s="16">
        <v>1405277.0</v>
      </c>
      <c r="C231" s="8" t="s">
        <v>20</v>
      </c>
      <c r="D231" s="8" t="s">
        <v>1527</v>
      </c>
      <c r="E231" s="16" t="s">
        <v>1528</v>
      </c>
      <c r="F231" s="16">
        <v>1405277.0</v>
      </c>
      <c r="G231" s="4"/>
      <c r="H231" s="16">
        <v>1405277.0</v>
      </c>
      <c r="I231" s="16">
        <v>210313.0</v>
      </c>
      <c r="J231" s="16" t="s">
        <v>1529</v>
      </c>
      <c r="K231" s="16" t="s">
        <v>1529</v>
      </c>
      <c r="L231" s="16" t="s">
        <v>1529</v>
      </c>
      <c r="M231" s="16">
        <v>2007.0</v>
      </c>
      <c r="N231" s="18">
        <v>39358.0</v>
      </c>
      <c r="O231" s="18">
        <v>39358.0</v>
      </c>
      <c r="P231" s="16">
        <v>7331.0</v>
      </c>
      <c r="Q231" s="16">
        <v>7310.0</v>
      </c>
      <c r="R231" s="16">
        <v>16.0</v>
      </c>
      <c r="S231" s="4"/>
      <c r="T231" s="4"/>
      <c r="U231" s="4"/>
      <c r="V231" s="4"/>
      <c r="W231" s="4"/>
      <c r="X231" s="4"/>
      <c r="Y231" s="4"/>
    </row>
    <row r="232">
      <c r="A232" s="16" t="s">
        <v>1530</v>
      </c>
      <c r="B232" s="16">
        <v>1028442.0</v>
      </c>
      <c r="C232" s="8" t="s">
        <v>20</v>
      </c>
      <c r="D232" s="8" t="s">
        <v>1531</v>
      </c>
      <c r="E232" s="16" t="s">
        <v>1532</v>
      </c>
      <c r="F232" s="16">
        <v>1028442.0</v>
      </c>
      <c r="G232" s="4"/>
      <c r="H232" s="16">
        <v>1028442.0</v>
      </c>
      <c r="I232" s="16">
        <v>817439.0</v>
      </c>
      <c r="J232" s="16" t="s">
        <v>1533</v>
      </c>
      <c r="K232" s="16" t="s">
        <v>1533</v>
      </c>
      <c r="L232" s="16" t="s">
        <v>1533</v>
      </c>
      <c r="M232" s="16">
        <v>2000.0</v>
      </c>
      <c r="N232" s="18">
        <v>36658.0</v>
      </c>
      <c r="O232" s="18">
        <v>36658.0</v>
      </c>
      <c r="P232" s="16">
        <v>7372.0</v>
      </c>
      <c r="Q232" s="16">
        <v>7372.0</v>
      </c>
      <c r="R232" s="16">
        <v>8.0</v>
      </c>
      <c r="S232" s="4"/>
      <c r="T232" s="4"/>
      <c r="U232" s="4"/>
      <c r="V232" s="4"/>
      <c r="W232" s="4"/>
      <c r="X232" s="4"/>
      <c r="Y232" s="4"/>
    </row>
    <row r="233">
      <c r="A233" s="16" t="s">
        <v>1534</v>
      </c>
      <c r="B233" s="16">
        <v>1032204.0</v>
      </c>
      <c r="C233" s="8" t="s">
        <v>20</v>
      </c>
      <c r="D233" s="8" t="s">
        <v>1535</v>
      </c>
      <c r="E233" s="16" t="s">
        <v>1536</v>
      </c>
      <c r="F233" s="16">
        <v>1032204.0</v>
      </c>
      <c r="G233" s="16">
        <v>1302215.0</v>
      </c>
      <c r="H233" s="16">
        <v>1032204.0</v>
      </c>
      <c r="I233" s="16">
        <v>416592.0</v>
      </c>
      <c r="J233" s="16" t="s">
        <v>1537</v>
      </c>
      <c r="K233" s="16" t="s">
        <v>1538</v>
      </c>
      <c r="L233" s="16" t="s">
        <v>1539</v>
      </c>
      <c r="M233" s="16">
        <v>1997.0</v>
      </c>
      <c r="N233" s="18">
        <v>35571.0</v>
      </c>
      <c r="O233" s="18">
        <v>35571.0</v>
      </c>
      <c r="P233" s="16">
        <v>6311.0</v>
      </c>
      <c r="Q233" s="16">
        <v>6311.0</v>
      </c>
      <c r="R233" s="16">
        <v>28.25</v>
      </c>
      <c r="S233" s="4"/>
      <c r="T233" s="4"/>
      <c r="U233" s="4"/>
      <c r="V233" s="4"/>
      <c r="W233" s="4"/>
      <c r="X233" s="4"/>
      <c r="Y233" s="4"/>
    </row>
    <row r="234">
      <c r="A234" s="16" t="s">
        <v>1540</v>
      </c>
      <c r="B234" s="16">
        <v>1662991.0</v>
      </c>
      <c r="C234" s="8" t="s">
        <v>749</v>
      </c>
      <c r="D234" s="8" t="s">
        <v>1541</v>
      </c>
      <c r="E234" s="16" t="s">
        <v>1542</v>
      </c>
      <c r="F234" s="16">
        <v>1662991.0</v>
      </c>
      <c r="G234" s="16">
        <v>1662991.0</v>
      </c>
      <c r="H234" s="16">
        <v>1662991.0</v>
      </c>
      <c r="I234" s="16" t="s">
        <v>1543</v>
      </c>
      <c r="J234" s="16" t="s">
        <v>1544</v>
      </c>
      <c r="K234" s="16" t="s">
        <v>1545</v>
      </c>
      <c r="L234" s="16" t="s">
        <v>1544</v>
      </c>
      <c r="M234" s="16">
        <v>2023.0</v>
      </c>
      <c r="N234" s="4"/>
      <c r="O234" s="4"/>
      <c r="P234" s="16">
        <v>6099.0</v>
      </c>
      <c r="Q234" s="16">
        <v>7389.0</v>
      </c>
      <c r="R234" s="16">
        <v>12.83</v>
      </c>
      <c r="S234" s="4"/>
      <c r="T234" s="4"/>
      <c r="U234" s="4"/>
      <c r="V234" s="4"/>
      <c r="W234" s="4"/>
      <c r="X234" s="4"/>
      <c r="Y234" s="4"/>
    </row>
    <row r="235">
      <c r="A235" s="16" t="s">
        <v>1546</v>
      </c>
      <c r="B235" s="16">
        <v>1681087.0</v>
      </c>
      <c r="C235" s="8" t="s">
        <v>20</v>
      </c>
      <c r="D235" s="8" t="s">
        <v>1547</v>
      </c>
      <c r="E235" s="4"/>
      <c r="F235" s="4"/>
      <c r="G235" s="4"/>
      <c r="H235" s="16">
        <v>1681087.0</v>
      </c>
      <c r="I235" s="16" t="s">
        <v>1548</v>
      </c>
      <c r="J235" s="16" t="s">
        <v>1549</v>
      </c>
      <c r="K235" s="4"/>
      <c r="L235" s="16" t="s">
        <v>1549</v>
      </c>
      <c r="M235" s="16">
        <v>2018.0</v>
      </c>
      <c r="N235" s="4"/>
      <c r="O235" s="4"/>
      <c r="P235" s="16">
        <v>8731.0</v>
      </c>
      <c r="Q235" s="4"/>
      <c r="R235" s="16">
        <v>19.0</v>
      </c>
      <c r="S235" s="4"/>
      <c r="T235" s="4"/>
      <c r="U235" s="4"/>
      <c r="V235" s="4"/>
      <c r="W235" s="4"/>
      <c r="X235" s="4"/>
      <c r="Y235" s="4"/>
    </row>
    <row r="236">
      <c r="A236" s="16" t="s">
        <v>1550</v>
      </c>
      <c r="B236" s="16">
        <v>1677940.0</v>
      </c>
      <c r="C236" s="8" t="s">
        <v>20</v>
      </c>
      <c r="D236" s="8" t="s">
        <v>1551</v>
      </c>
      <c r="E236" s="16" t="s">
        <v>1552</v>
      </c>
      <c r="F236" s="16">
        <v>1677940.0</v>
      </c>
      <c r="G236" s="16">
        <v>1677940.0</v>
      </c>
      <c r="H236" s="16">
        <v>1677940.0</v>
      </c>
      <c r="I236" s="16" t="s">
        <v>1553</v>
      </c>
      <c r="J236" s="16" t="s">
        <v>1554</v>
      </c>
      <c r="K236" s="16" t="s">
        <v>1554</v>
      </c>
      <c r="L236" s="16" t="s">
        <v>1554</v>
      </c>
      <c r="M236" s="16">
        <v>2017.0</v>
      </c>
      <c r="N236" s="18">
        <v>42803.0</v>
      </c>
      <c r="O236" s="18">
        <v>42803.0</v>
      </c>
      <c r="P236" s="16">
        <v>8731.0</v>
      </c>
      <c r="Q236" s="16">
        <v>2836.0</v>
      </c>
      <c r="R236" s="16">
        <v>20.0</v>
      </c>
      <c r="S236" s="4"/>
      <c r="T236" s="4"/>
      <c r="U236" s="4"/>
      <c r="V236" s="4"/>
      <c r="W236" s="4"/>
      <c r="X236" s="4"/>
      <c r="Y236" s="4"/>
    </row>
    <row r="237">
      <c r="A237" s="16" t="s">
        <v>1555</v>
      </c>
      <c r="B237" s="16">
        <v>1098574.0</v>
      </c>
      <c r="C237" s="8" t="s">
        <v>20</v>
      </c>
      <c r="D237" s="8" t="s">
        <v>1556</v>
      </c>
      <c r="E237" s="16" t="s">
        <v>1557</v>
      </c>
      <c r="F237" s="16">
        <v>1098574.0</v>
      </c>
      <c r="G237" s="4"/>
      <c r="H237" s="17">
        <v>1.09857400010123E16</v>
      </c>
      <c r="I237" s="16">
        <v>318224.0</v>
      </c>
      <c r="J237" s="16" t="s">
        <v>1558</v>
      </c>
      <c r="K237" s="16" t="s">
        <v>1559</v>
      </c>
      <c r="L237" s="16" t="s">
        <v>1558</v>
      </c>
      <c r="M237" s="16">
        <v>2000.0</v>
      </c>
      <c r="N237" s="18">
        <v>36560.0</v>
      </c>
      <c r="O237" s="18">
        <v>36560.0</v>
      </c>
      <c r="P237" s="16">
        <v>7372.0</v>
      </c>
      <c r="Q237" s="16">
        <v>7372.0</v>
      </c>
      <c r="R237" s="16">
        <v>22.0</v>
      </c>
      <c r="S237" s="4"/>
      <c r="T237" s="4"/>
      <c r="U237" s="4"/>
      <c r="V237" s="4"/>
      <c r="W237" s="4"/>
      <c r="X237" s="4"/>
      <c r="Y237" s="4"/>
    </row>
    <row r="238">
      <c r="A238" s="16" t="s">
        <v>1560</v>
      </c>
      <c r="B238" s="16">
        <v>1088348.0</v>
      </c>
      <c r="C238" s="8" t="s">
        <v>20</v>
      </c>
      <c r="D238" s="8" t="s">
        <v>1561</v>
      </c>
      <c r="E238" s="16" t="s">
        <v>1562</v>
      </c>
      <c r="F238" s="16">
        <v>1088348.0</v>
      </c>
      <c r="G238" s="4"/>
      <c r="H238" s="17">
        <v>1.08834800010883E16</v>
      </c>
      <c r="I238" s="16">
        <v>947336.0</v>
      </c>
      <c r="J238" s="16" t="s">
        <v>1563</v>
      </c>
      <c r="K238" s="16" t="s">
        <v>1564</v>
      </c>
      <c r="L238" s="16" t="s">
        <v>1563</v>
      </c>
      <c r="M238" s="16">
        <v>1999.0</v>
      </c>
      <c r="N238" s="18">
        <v>36481.0</v>
      </c>
      <c r="O238" s="18">
        <v>36481.0</v>
      </c>
      <c r="P238" s="16">
        <v>6211.0</v>
      </c>
      <c r="Q238" s="16">
        <v>6211.0</v>
      </c>
      <c r="R238" s="16">
        <v>11.0</v>
      </c>
      <c r="S238" s="4"/>
      <c r="T238" s="4"/>
      <c r="U238" s="4"/>
      <c r="V238" s="4"/>
      <c r="W238" s="4"/>
      <c r="X238" s="4"/>
      <c r="Y238" s="4"/>
    </row>
    <row r="239">
      <c r="A239" s="16" t="s">
        <v>1565</v>
      </c>
      <c r="B239" s="16">
        <v>913887.0</v>
      </c>
      <c r="C239" s="8" t="s">
        <v>20</v>
      </c>
      <c r="D239" s="8" t="s">
        <v>1566</v>
      </c>
      <c r="E239" s="16" t="s">
        <v>1567</v>
      </c>
      <c r="F239" s="16">
        <v>913887.0</v>
      </c>
      <c r="G239" s="4"/>
      <c r="H239" s="16">
        <v>913887.0</v>
      </c>
      <c r="I239" s="16" t="s">
        <v>1568</v>
      </c>
      <c r="J239" s="16" t="s">
        <v>1569</v>
      </c>
      <c r="K239" s="16" t="s">
        <v>1570</v>
      </c>
      <c r="L239" s="16" t="s">
        <v>1569</v>
      </c>
      <c r="M239" s="16">
        <v>1994.0</v>
      </c>
      <c r="N239" s="18">
        <v>34359.0</v>
      </c>
      <c r="O239" s="18">
        <v>34359.0</v>
      </c>
      <c r="P239" s="16">
        <v>7372.0</v>
      </c>
      <c r="Q239" s="16">
        <v>7372.0</v>
      </c>
      <c r="R239" s="16">
        <v>9.0</v>
      </c>
      <c r="S239" s="4"/>
      <c r="T239" s="4"/>
      <c r="U239" s="4"/>
      <c r="V239" s="4"/>
      <c r="W239" s="4"/>
      <c r="X239" s="4"/>
      <c r="Y239" s="4"/>
    </row>
    <row r="240">
      <c r="A240" s="16" t="s">
        <v>1571</v>
      </c>
      <c r="B240" s="16">
        <v>1651094.0</v>
      </c>
      <c r="C240" s="8" t="s">
        <v>749</v>
      </c>
      <c r="D240" s="8" t="s">
        <v>1572</v>
      </c>
      <c r="E240" s="16" t="s">
        <v>1573</v>
      </c>
      <c r="F240" s="16">
        <v>1651094.0</v>
      </c>
      <c r="G240" s="4"/>
      <c r="H240" s="16">
        <v>1651094.0</v>
      </c>
      <c r="I240" s="16" t="s">
        <v>1574</v>
      </c>
      <c r="J240" s="16" t="s">
        <v>1575</v>
      </c>
      <c r="K240" s="16" t="s">
        <v>1575</v>
      </c>
      <c r="L240" s="16" t="s">
        <v>1575</v>
      </c>
      <c r="M240" s="16">
        <v>2017.0</v>
      </c>
      <c r="N240" s="18">
        <v>42831.0</v>
      </c>
      <c r="O240" s="18">
        <v>42831.0</v>
      </c>
      <c r="P240" s="16">
        <v>6289.0</v>
      </c>
      <c r="Q240" s="16">
        <v>6141.0</v>
      </c>
      <c r="R240" s="16">
        <v>6.5</v>
      </c>
      <c r="S240" s="4"/>
      <c r="T240" s="4"/>
      <c r="U240" s="4"/>
      <c r="V240" s="4"/>
      <c r="W240" s="4"/>
      <c r="X240" s="4"/>
      <c r="Y240" s="4"/>
    </row>
    <row r="241">
      <c r="A241" s="16" t="s">
        <v>1576</v>
      </c>
      <c r="B241" s="16">
        <v>1305294.0</v>
      </c>
      <c r="C241" s="8" t="s">
        <v>762</v>
      </c>
      <c r="D241" s="8" t="s">
        <v>1577</v>
      </c>
      <c r="E241" s="16" t="s">
        <v>1578</v>
      </c>
      <c r="F241" s="16">
        <v>1305294.0</v>
      </c>
      <c r="G241" s="4"/>
      <c r="H241" s="16">
        <v>1305294.0</v>
      </c>
      <c r="I241" s="16" t="s">
        <v>1579</v>
      </c>
      <c r="J241" s="16" t="s">
        <v>1580</v>
      </c>
      <c r="K241" s="16" t="s">
        <v>1580</v>
      </c>
      <c r="L241" s="16" t="s">
        <v>1580</v>
      </c>
      <c r="M241" s="16">
        <v>2010.0</v>
      </c>
      <c r="N241" s="18">
        <v>40375.0</v>
      </c>
      <c r="O241" s="18">
        <v>40375.0</v>
      </c>
      <c r="P241" s="16">
        <v>7372.0</v>
      </c>
      <c r="Q241" s="16">
        <v>7372.0</v>
      </c>
      <c r="R241" s="16">
        <v>10.0</v>
      </c>
      <c r="S241" s="4"/>
      <c r="T241" s="4"/>
      <c r="U241" s="4"/>
      <c r="V241" s="4"/>
      <c r="W241" s="4"/>
      <c r="X241" s="4"/>
      <c r="Y241" s="4"/>
    </row>
    <row r="242">
      <c r="A242" s="16" t="s">
        <v>1581</v>
      </c>
      <c r="B242" s="16">
        <v>862831.0</v>
      </c>
      <c r="C242" s="8" t="s">
        <v>20</v>
      </c>
      <c r="D242" s="8" t="s">
        <v>1582</v>
      </c>
      <c r="E242" s="16" t="s">
        <v>1583</v>
      </c>
      <c r="F242" s="16">
        <v>862831.0</v>
      </c>
      <c r="G242" s="16">
        <v>862831.0</v>
      </c>
      <c r="H242" s="17">
        <v>1.73063300007053E26</v>
      </c>
      <c r="I242" s="16">
        <v>317585.0</v>
      </c>
      <c r="J242" s="16" t="s">
        <v>1584</v>
      </c>
      <c r="K242" s="16" t="s">
        <v>1584</v>
      </c>
      <c r="L242" s="16" t="s">
        <v>1584</v>
      </c>
      <c r="M242" s="16">
        <v>1999.0</v>
      </c>
      <c r="N242" s="18">
        <v>36336.0</v>
      </c>
      <c r="O242" s="18">
        <v>36336.0</v>
      </c>
      <c r="P242" s="16">
        <v>6021.0</v>
      </c>
      <c r="Q242" s="16">
        <v>6020.0</v>
      </c>
      <c r="R242" s="16">
        <v>14.0</v>
      </c>
      <c r="S242" s="4"/>
      <c r="T242" s="4"/>
      <c r="U242" s="4"/>
      <c r="V242" s="4"/>
      <c r="W242" s="4"/>
      <c r="X242" s="4"/>
      <c r="Y242" s="4"/>
    </row>
    <row r="243">
      <c r="A243" s="16" t="s">
        <v>1585</v>
      </c>
      <c r="B243" s="16">
        <v>1084573.0</v>
      </c>
      <c r="C243" s="8" t="s">
        <v>20</v>
      </c>
      <c r="D243" s="8" t="s">
        <v>1586</v>
      </c>
      <c r="E243" s="16" t="s">
        <v>1587</v>
      </c>
      <c r="F243" s="16">
        <v>1084573.0</v>
      </c>
      <c r="G243" s="4"/>
      <c r="H243" s="16">
        <v>1084573.0</v>
      </c>
      <c r="I243" s="16">
        <v>292827.0</v>
      </c>
      <c r="J243" s="16" t="s">
        <v>1588</v>
      </c>
      <c r="K243" s="16" t="s">
        <v>1589</v>
      </c>
      <c r="L243" s="16" t="s">
        <v>1590</v>
      </c>
      <c r="M243" s="16">
        <v>1999.0</v>
      </c>
      <c r="N243" s="18">
        <v>36361.0</v>
      </c>
      <c r="O243" s="18">
        <v>36361.0</v>
      </c>
      <c r="P243" s="16">
        <v>7372.0</v>
      </c>
      <c r="Q243" s="16">
        <v>7372.0</v>
      </c>
      <c r="R243" s="16">
        <v>15.0</v>
      </c>
      <c r="S243" s="4"/>
      <c r="T243" s="4"/>
      <c r="U243" s="4"/>
      <c r="V243" s="4"/>
      <c r="W243" s="4"/>
      <c r="X243" s="4"/>
      <c r="Y243" s="4"/>
    </row>
    <row r="244">
      <c r="A244" s="16" t="s">
        <v>1591</v>
      </c>
      <c r="B244" s="16">
        <v>1074767.0</v>
      </c>
      <c r="C244" s="8" t="s">
        <v>20</v>
      </c>
      <c r="D244" s="8" t="s">
        <v>1592</v>
      </c>
      <c r="E244" s="16" t="s">
        <v>1593</v>
      </c>
      <c r="F244" s="16">
        <v>1074767.0</v>
      </c>
      <c r="G244" s="4"/>
      <c r="H244" s="16">
        <v>1074767.0</v>
      </c>
      <c r="I244" s="16" t="s">
        <v>1594</v>
      </c>
      <c r="J244" s="16" t="s">
        <v>1595</v>
      </c>
      <c r="K244" s="16" t="s">
        <v>1595</v>
      </c>
      <c r="L244" s="16" t="s">
        <v>1595</v>
      </c>
      <c r="M244" s="16">
        <v>1999.0</v>
      </c>
      <c r="N244" s="18">
        <v>36238.0</v>
      </c>
      <c r="O244" s="18">
        <v>36238.0</v>
      </c>
      <c r="P244" s="16">
        <v>7375.0</v>
      </c>
      <c r="Q244" s="16">
        <v>7370.0</v>
      </c>
      <c r="R244" s="16">
        <v>24.0</v>
      </c>
      <c r="S244" s="4"/>
      <c r="T244" s="4"/>
      <c r="U244" s="4"/>
      <c r="V244" s="4"/>
      <c r="W244" s="4"/>
      <c r="X244" s="4"/>
      <c r="Y244" s="4"/>
    </row>
    <row r="245">
      <c r="A245" s="16" t="s">
        <v>1596</v>
      </c>
      <c r="B245" s="16">
        <v>1039151.0</v>
      </c>
      <c r="C245" s="8" t="s">
        <v>20</v>
      </c>
      <c r="D245" s="8" t="s">
        <v>1597</v>
      </c>
      <c r="E245" s="16" t="s">
        <v>1598</v>
      </c>
      <c r="F245" s="16">
        <v>1039151.0</v>
      </c>
      <c r="G245" s="4"/>
      <c r="H245" s="16">
        <v>1039151.0</v>
      </c>
      <c r="I245" s="16" t="s">
        <v>1599</v>
      </c>
      <c r="J245" s="16" t="s">
        <v>1600</v>
      </c>
      <c r="K245" s="16" t="s">
        <v>1600</v>
      </c>
      <c r="L245" s="16" t="s">
        <v>1600</v>
      </c>
      <c r="M245" s="16">
        <v>1997.0</v>
      </c>
      <c r="N245" s="18">
        <v>35664.0</v>
      </c>
      <c r="O245" s="18">
        <v>35664.0</v>
      </c>
      <c r="P245" s="16">
        <v>8731.0</v>
      </c>
      <c r="Q245" s="16">
        <v>8731.0</v>
      </c>
      <c r="R245" s="16">
        <v>14.0</v>
      </c>
      <c r="S245" s="4"/>
      <c r="T245" s="4"/>
      <c r="U245" s="4"/>
      <c r="V245" s="4"/>
      <c r="W245" s="4"/>
      <c r="X245" s="4"/>
      <c r="Y245" s="4"/>
    </row>
    <row r="246">
      <c r="A246" s="16" t="s">
        <v>1601</v>
      </c>
      <c r="B246" s="16">
        <v>1071739.0</v>
      </c>
      <c r="C246" s="8" t="s">
        <v>20</v>
      </c>
      <c r="D246" s="8" t="s">
        <v>1602</v>
      </c>
      <c r="E246" s="16" t="s">
        <v>1603</v>
      </c>
      <c r="F246" s="16">
        <v>1071739.0</v>
      </c>
      <c r="G246" s="4"/>
      <c r="H246" s="16">
        <v>1071739.0</v>
      </c>
      <c r="I246" s="16" t="s">
        <v>1604</v>
      </c>
      <c r="J246" s="16" t="s">
        <v>1605</v>
      </c>
      <c r="K246" s="16" t="s">
        <v>1606</v>
      </c>
      <c r="L246" s="16" t="s">
        <v>1605</v>
      </c>
      <c r="M246" s="16">
        <v>2001.0</v>
      </c>
      <c r="N246" s="18">
        <v>37238.0</v>
      </c>
      <c r="O246" s="18">
        <v>37238.0</v>
      </c>
      <c r="P246" s="16">
        <v>6324.0</v>
      </c>
      <c r="Q246" s="16">
        <v>6324.0</v>
      </c>
      <c r="R246" s="16">
        <v>14.0</v>
      </c>
      <c r="S246" s="4"/>
      <c r="T246" s="4"/>
      <c r="U246" s="4"/>
      <c r="V246" s="4"/>
      <c r="W246" s="4"/>
      <c r="X246" s="4"/>
      <c r="Y246" s="4"/>
    </row>
    <row r="247">
      <c r="A247" s="16" t="s">
        <v>1607</v>
      </c>
      <c r="B247" s="16">
        <v>1327811.0</v>
      </c>
      <c r="C247" s="8" t="s">
        <v>20</v>
      </c>
      <c r="D247" s="8" t="s">
        <v>1608</v>
      </c>
      <c r="E247" s="16" t="s">
        <v>1609</v>
      </c>
      <c r="F247" s="16">
        <v>1327811.0</v>
      </c>
      <c r="G247" s="16">
        <v>1327811.0</v>
      </c>
      <c r="H247" s="17">
        <v>1.32781100013278E16</v>
      </c>
      <c r="I247" s="16" t="s">
        <v>1610</v>
      </c>
      <c r="J247" s="16" t="s">
        <v>1611</v>
      </c>
      <c r="K247" s="16" t="s">
        <v>1611</v>
      </c>
      <c r="L247" s="16" t="s">
        <v>1611</v>
      </c>
      <c r="M247" s="16">
        <v>2012.0</v>
      </c>
      <c r="N247" s="18">
        <v>41194.0</v>
      </c>
      <c r="O247" s="18">
        <v>41194.0</v>
      </c>
      <c r="P247" s="16">
        <v>8748.0</v>
      </c>
      <c r="Q247" s="16">
        <v>7370.0</v>
      </c>
      <c r="R247" s="16">
        <v>28.0</v>
      </c>
      <c r="S247" s="4"/>
      <c r="T247" s="4"/>
      <c r="U247" s="4"/>
      <c r="V247" s="4"/>
      <c r="W247" s="4"/>
      <c r="X247" s="4"/>
      <c r="Y247" s="4"/>
    </row>
    <row r="248">
      <c r="A248" s="16" t="s">
        <v>1612</v>
      </c>
      <c r="B248" s="16">
        <v>1052196.0</v>
      </c>
      <c r="C248" s="8" t="s">
        <v>20</v>
      </c>
      <c r="D248" s="8" t="s">
        <v>1613</v>
      </c>
      <c r="E248" s="16" t="s">
        <v>1614</v>
      </c>
      <c r="F248" s="4"/>
      <c r="G248" s="4"/>
      <c r="H248" s="16">
        <v>1052196.0</v>
      </c>
      <c r="I248" s="16">
        <v>262504.0</v>
      </c>
      <c r="J248" s="16" t="s">
        <v>1615</v>
      </c>
      <c r="K248" s="16" t="s">
        <v>1616</v>
      </c>
      <c r="L248" s="16" t="s">
        <v>1615</v>
      </c>
      <c r="M248" s="16">
        <v>1998.0</v>
      </c>
      <c r="N248" s="18">
        <v>35867.0</v>
      </c>
      <c r="O248" s="18">
        <v>35867.0</v>
      </c>
      <c r="P248" s="16">
        <v>7371.0</v>
      </c>
      <c r="Q248" s="16">
        <v>7372.0</v>
      </c>
      <c r="R248" s="16">
        <v>16.0</v>
      </c>
      <c r="S248" s="4"/>
      <c r="T248" s="4"/>
      <c r="U248" s="4"/>
      <c r="V248" s="4"/>
      <c r="W248" s="4"/>
      <c r="X248" s="4"/>
      <c r="Y248" s="4"/>
    </row>
    <row r="249">
      <c r="A249" s="16" t="s">
        <v>1617</v>
      </c>
      <c r="B249" s="16">
        <v>949371.0</v>
      </c>
      <c r="C249" s="8" t="s">
        <v>20</v>
      </c>
      <c r="D249" s="8" t="s">
        <v>1618</v>
      </c>
      <c r="E249" s="4"/>
      <c r="F249" s="4"/>
      <c r="G249" s="4"/>
      <c r="H249" s="16">
        <v>949371.0</v>
      </c>
      <c r="I249" s="16">
        <v>253839.0</v>
      </c>
      <c r="J249" s="16" t="s">
        <v>1619</v>
      </c>
      <c r="K249" s="4"/>
      <c r="L249" s="16" t="s">
        <v>1619</v>
      </c>
      <c r="M249" s="16">
        <v>1996.0</v>
      </c>
      <c r="N249" s="4"/>
      <c r="O249" s="4"/>
      <c r="P249" s="16">
        <v>7311.0</v>
      </c>
      <c r="Q249" s="4"/>
      <c r="R249" s="16">
        <v>5.0</v>
      </c>
      <c r="S249" s="4"/>
      <c r="T249" s="4"/>
      <c r="U249" s="4"/>
      <c r="V249" s="4"/>
      <c r="W249" s="4"/>
      <c r="X249" s="4"/>
      <c r="Y249" s="4"/>
    </row>
    <row r="250">
      <c r="A250" s="16" t="s">
        <v>1620</v>
      </c>
      <c r="B250" s="16">
        <v>1538927.0</v>
      </c>
      <c r="C250" s="8" t="s">
        <v>20</v>
      </c>
      <c r="D250" s="8" t="s">
        <v>1621</v>
      </c>
      <c r="E250" s="16" t="s">
        <v>1622</v>
      </c>
      <c r="F250" s="16">
        <v>1538927.0</v>
      </c>
      <c r="G250" s="4"/>
      <c r="H250" s="16">
        <v>1538927.0</v>
      </c>
      <c r="I250" s="16" t="s">
        <v>1623</v>
      </c>
      <c r="J250" s="16" t="s">
        <v>1624</v>
      </c>
      <c r="K250" s="16" t="s">
        <v>1624</v>
      </c>
      <c r="L250" s="16" t="s">
        <v>1624</v>
      </c>
      <c r="M250" s="16">
        <v>2020.0</v>
      </c>
      <c r="N250" s="18">
        <v>44001.0</v>
      </c>
      <c r="O250" s="18">
        <v>44001.0</v>
      </c>
      <c r="P250" s="16">
        <v>8731.0</v>
      </c>
      <c r="Q250" s="16">
        <v>2836.0</v>
      </c>
      <c r="R250" s="16">
        <v>20.0</v>
      </c>
      <c r="S250" s="4"/>
      <c r="T250" s="4"/>
      <c r="U250" s="4"/>
      <c r="V250" s="4"/>
      <c r="W250" s="4"/>
      <c r="X250" s="4"/>
      <c r="Y250" s="4"/>
    </row>
    <row r="251">
      <c r="A251" s="16" t="s">
        <v>1625</v>
      </c>
      <c r="B251" s="16">
        <v>1006637.0</v>
      </c>
      <c r="C251" s="8" t="s">
        <v>20</v>
      </c>
      <c r="D251" s="8" t="s">
        <v>1626</v>
      </c>
      <c r="E251" s="4"/>
      <c r="F251" s="4"/>
      <c r="G251" s="4"/>
      <c r="H251" s="16">
        <v>1006637.0</v>
      </c>
      <c r="I251" s="16" t="s">
        <v>1627</v>
      </c>
      <c r="J251" s="16" t="s">
        <v>1628</v>
      </c>
      <c r="K251" s="4"/>
      <c r="L251" s="16" t="s">
        <v>1629</v>
      </c>
      <c r="M251" s="16">
        <v>1998.0</v>
      </c>
      <c r="N251" s="4"/>
      <c r="O251" s="4"/>
      <c r="P251" s="16">
        <v>7375.0</v>
      </c>
      <c r="Q251" s="4"/>
      <c r="R251" s="16">
        <v>14.0</v>
      </c>
      <c r="S251" s="4"/>
      <c r="T251" s="4"/>
      <c r="U251" s="4"/>
      <c r="V251" s="4"/>
      <c r="W251" s="4"/>
      <c r="X251" s="4"/>
      <c r="Y251" s="4"/>
    </row>
    <row r="252">
      <c r="A252" s="16" t="s">
        <v>1630</v>
      </c>
      <c r="B252" s="16">
        <v>1039971.0</v>
      </c>
      <c r="C252" s="8" t="s">
        <v>20</v>
      </c>
      <c r="D252" s="8" t="s">
        <v>1631</v>
      </c>
      <c r="E252" s="16" t="s">
        <v>1632</v>
      </c>
      <c r="F252" s="16">
        <v>1039971.0</v>
      </c>
      <c r="G252" s="4"/>
      <c r="H252" s="16">
        <v>1039971.0</v>
      </c>
      <c r="I252" s="16">
        <v>269524.0</v>
      </c>
      <c r="J252" s="16" t="s">
        <v>1633</v>
      </c>
      <c r="K252" s="16" t="s">
        <v>1634</v>
      </c>
      <c r="L252" s="16" t="s">
        <v>1635</v>
      </c>
      <c r="M252" s="16">
        <v>1997.0</v>
      </c>
      <c r="N252" s="18">
        <v>35647.0</v>
      </c>
      <c r="O252" s="18">
        <v>35647.0</v>
      </c>
      <c r="P252" s="16">
        <v>8731.0</v>
      </c>
      <c r="Q252" s="16">
        <v>1382.0</v>
      </c>
      <c r="R252" s="16">
        <v>17.0</v>
      </c>
      <c r="S252" s="4"/>
      <c r="T252" s="4"/>
      <c r="U252" s="4"/>
      <c r="V252" s="4"/>
      <c r="W252" s="4"/>
      <c r="X252" s="4"/>
      <c r="Y252" s="4"/>
    </row>
    <row r="253">
      <c r="A253" s="16" t="s">
        <v>1636</v>
      </c>
      <c r="B253" s="16">
        <v>914244.0</v>
      </c>
      <c r="C253" s="8" t="s">
        <v>20</v>
      </c>
      <c r="D253" s="8" t="s">
        <v>1637</v>
      </c>
      <c r="E253" s="16" t="s">
        <v>1638</v>
      </c>
      <c r="F253" s="16">
        <v>914244.0</v>
      </c>
      <c r="G253" s="4"/>
      <c r="H253" s="16">
        <v>914244.0</v>
      </c>
      <c r="I253" s="16">
        <v>317706.0</v>
      </c>
      <c r="J253" s="16" t="s">
        <v>1639</v>
      </c>
      <c r="K253" s="16" t="s">
        <v>1640</v>
      </c>
      <c r="L253" s="16" t="s">
        <v>1639</v>
      </c>
      <c r="M253" s="16">
        <v>1994.0</v>
      </c>
      <c r="N253" s="18">
        <v>34474.0</v>
      </c>
      <c r="O253" s="18">
        <v>34474.0</v>
      </c>
      <c r="P253" s="16">
        <v>6159.0</v>
      </c>
      <c r="Q253" s="16">
        <v>6172.0</v>
      </c>
      <c r="R253" s="16">
        <v>6.5</v>
      </c>
      <c r="S253" s="4"/>
      <c r="T253" s="4"/>
      <c r="U253" s="4"/>
      <c r="V253" s="4"/>
      <c r="W253" s="4"/>
      <c r="X253" s="4"/>
      <c r="Y253" s="4"/>
    </row>
    <row r="254">
      <c r="A254" s="16" t="s">
        <v>1641</v>
      </c>
      <c r="B254" s="16">
        <v>1520566.0</v>
      </c>
      <c r="C254" s="8" t="s">
        <v>749</v>
      </c>
      <c r="D254" s="8" t="s">
        <v>1642</v>
      </c>
      <c r="E254" s="16" t="s">
        <v>1643</v>
      </c>
      <c r="F254" s="16">
        <v>1520566.0</v>
      </c>
      <c r="G254" s="4"/>
      <c r="H254" s="16">
        <v>1520566.0</v>
      </c>
      <c r="I254" s="16" t="s">
        <v>1644</v>
      </c>
      <c r="J254" s="16" t="s">
        <v>1645</v>
      </c>
      <c r="K254" s="16" t="s">
        <v>1645</v>
      </c>
      <c r="L254" s="16" t="s">
        <v>1646</v>
      </c>
      <c r="M254" s="16">
        <v>2012.0</v>
      </c>
      <c r="N254" s="18">
        <v>40976.0</v>
      </c>
      <c r="O254" s="18">
        <v>40976.0</v>
      </c>
      <c r="P254" s="16">
        <v>6162.0</v>
      </c>
      <c r="Q254" s="16">
        <v>6162.0</v>
      </c>
      <c r="R254" s="16">
        <v>14.0</v>
      </c>
      <c r="S254" s="4"/>
      <c r="T254" s="4"/>
      <c r="U254" s="4"/>
      <c r="V254" s="4"/>
      <c r="W254" s="4"/>
      <c r="X254" s="4"/>
      <c r="Y254" s="4"/>
    </row>
    <row r="255">
      <c r="A255" s="16" t="s">
        <v>1647</v>
      </c>
      <c r="B255" s="16">
        <v>1078404.0</v>
      </c>
      <c r="C255" s="8" t="s">
        <v>749</v>
      </c>
      <c r="D255" s="8" t="s">
        <v>1648</v>
      </c>
      <c r="E255" s="4"/>
      <c r="F255" s="4"/>
      <c r="G255" s="4"/>
      <c r="H255" s="16">
        <v>1078404.0</v>
      </c>
      <c r="I255" s="16" t="s">
        <v>1649</v>
      </c>
      <c r="J255" s="16" t="s">
        <v>1650</v>
      </c>
      <c r="K255" s="4"/>
      <c r="L255" s="16" t="s">
        <v>1650</v>
      </c>
      <c r="M255" s="16">
        <v>1999.0</v>
      </c>
      <c r="N255" s="4"/>
      <c r="O255" s="4"/>
      <c r="P255" s="16">
        <v>7374.0</v>
      </c>
      <c r="Q255" s="4"/>
      <c r="R255" s="16">
        <v>19.0</v>
      </c>
      <c r="S255" s="4"/>
      <c r="T255" s="4"/>
      <c r="U255" s="4"/>
      <c r="V255" s="4"/>
      <c r="W255" s="4"/>
      <c r="X255" s="4"/>
      <c r="Y255" s="4"/>
    </row>
    <row r="256">
      <c r="A256" s="16" t="s">
        <v>1651</v>
      </c>
      <c r="B256" s="16">
        <v>1593899.0</v>
      </c>
      <c r="C256" s="8" t="s">
        <v>20</v>
      </c>
      <c r="D256" s="8" t="s">
        <v>1652</v>
      </c>
      <c r="E256" s="16" t="s">
        <v>1653</v>
      </c>
      <c r="F256" s="16">
        <v>1593899.0</v>
      </c>
      <c r="G256" s="16">
        <v>1593899.0</v>
      </c>
      <c r="H256" s="16">
        <v>1593899.0</v>
      </c>
      <c r="I256" s="16" t="s">
        <v>1654</v>
      </c>
      <c r="J256" s="16" t="s">
        <v>1655</v>
      </c>
      <c r="K256" s="16" t="s">
        <v>1655</v>
      </c>
      <c r="L256" s="16" t="s">
        <v>1655</v>
      </c>
      <c r="M256" s="16">
        <v>2020.0</v>
      </c>
      <c r="N256" s="18">
        <v>44134.0</v>
      </c>
      <c r="O256" s="18">
        <v>44134.0</v>
      </c>
      <c r="P256" s="16">
        <v>8731.0</v>
      </c>
      <c r="Q256" s="16">
        <v>2834.0</v>
      </c>
      <c r="R256" s="16">
        <v>24.0</v>
      </c>
      <c r="S256" s="4"/>
      <c r="T256" s="4"/>
      <c r="U256" s="4"/>
      <c r="V256" s="4"/>
      <c r="W256" s="4"/>
      <c r="X256" s="4"/>
      <c r="Y256" s="4"/>
    </row>
    <row r="257">
      <c r="A257" s="16" t="s">
        <v>1656</v>
      </c>
      <c r="B257" s="16">
        <v>940033.0</v>
      </c>
      <c r="C257" s="8" t="s">
        <v>20</v>
      </c>
      <c r="D257" s="8" t="s">
        <v>1657</v>
      </c>
      <c r="E257" s="16" t="s">
        <v>1658</v>
      </c>
      <c r="F257" s="16">
        <v>940033.0</v>
      </c>
      <c r="G257" s="4"/>
      <c r="H257" s="16">
        <v>940033.0</v>
      </c>
      <c r="I257" s="16">
        <v>683708.0</v>
      </c>
      <c r="J257" s="4"/>
      <c r="K257" s="16" t="s">
        <v>1659</v>
      </c>
      <c r="L257" s="4"/>
      <c r="M257" s="16">
        <v>1995.0</v>
      </c>
      <c r="N257" s="18">
        <v>34802.0</v>
      </c>
      <c r="O257" s="18">
        <v>34802.0</v>
      </c>
      <c r="P257" s="16">
        <v>7373.0</v>
      </c>
      <c r="Q257" s="16">
        <v>7372.0</v>
      </c>
      <c r="R257" s="16">
        <v>15.0</v>
      </c>
      <c r="S257" s="4"/>
      <c r="T257" s="4"/>
      <c r="U257" s="4"/>
      <c r="V257" s="4"/>
      <c r="W257" s="4"/>
      <c r="X257" s="4"/>
      <c r="Y257" s="4"/>
    </row>
    <row r="258">
      <c r="A258" s="16" t="s">
        <v>1660</v>
      </c>
      <c r="B258" s="16">
        <v>1138817.0</v>
      </c>
      <c r="C258" s="8" t="s">
        <v>749</v>
      </c>
      <c r="D258" s="8" t="s">
        <v>1661</v>
      </c>
      <c r="E258" s="16" t="s">
        <v>1662</v>
      </c>
      <c r="F258" s="16">
        <v>1138817.0</v>
      </c>
      <c r="G258" s="4"/>
      <c r="H258" s="16">
        <v>1138817.0</v>
      </c>
      <c r="I258" s="16">
        <v>336312.0</v>
      </c>
      <c r="J258" s="16" t="s">
        <v>1663</v>
      </c>
      <c r="K258" s="16" t="s">
        <v>1663</v>
      </c>
      <c r="L258" s="16" t="s">
        <v>1663</v>
      </c>
      <c r="M258" s="16">
        <v>2005.0</v>
      </c>
      <c r="N258" s="18">
        <v>38574.0</v>
      </c>
      <c r="O258" s="18">
        <v>38574.0</v>
      </c>
      <c r="P258" s="16">
        <v>6021.0</v>
      </c>
      <c r="Q258" s="16">
        <v>6020.0</v>
      </c>
      <c r="R258" s="16">
        <v>10.0</v>
      </c>
      <c r="S258" s="4"/>
      <c r="T258" s="4"/>
      <c r="U258" s="4"/>
      <c r="V258" s="4"/>
      <c r="W258" s="4"/>
      <c r="X258" s="4"/>
      <c r="Y258" s="4"/>
    </row>
    <row r="259">
      <c r="A259" s="16" t="s">
        <v>1664</v>
      </c>
      <c r="B259" s="16">
        <v>1851657.0</v>
      </c>
      <c r="C259" s="8" t="s">
        <v>20</v>
      </c>
      <c r="D259" s="8" t="s">
        <v>1665</v>
      </c>
      <c r="E259" s="16" t="s">
        <v>1666</v>
      </c>
      <c r="F259" s="16">
        <v>1851657.0</v>
      </c>
      <c r="G259" s="4"/>
      <c r="H259" s="16">
        <v>1851657.0</v>
      </c>
      <c r="I259" s="16" t="s">
        <v>1667</v>
      </c>
      <c r="J259" s="16" t="s">
        <v>1668</v>
      </c>
      <c r="K259" s="16" t="s">
        <v>1668</v>
      </c>
      <c r="L259" s="16" t="s">
        <v>1668</v>
      </c>
      <c r="M259" s="16">
        <v>2021.0</v>
      </c>
      <c r="N259" s="18">
        <v>44511.0</v>
      </c>
      <c r="O259" s="18">
        <v>44511.0</v>
      </c>
      <c r="P259" s="16">
        <v>8731.0</v>
      </c>
      <c r="Q259" s="16">
        <v>2836.0</v>
      </c>
      <c r="R259" s="16">
        <v>13.0</v>
      </c>
      <c r="S259" s="4"/>
      <c r="T259" s="4"/>
      <c r="U259" s="4"/>
      <c r="V259" s="4"/>
      <c r="W259" s="4"/>
      <c r="X259" s="4"/>
      <c r="Y259" s="4"/>
    </row>
    <row r="260">
      <c r="A260" s="16" t="s">
        <v>1669</v>
      </c>
      <c r="B260" s="16">
        <v>888358.0</v>
      </c>
      <c r="C260" s="8" t="s">
        <v>20</v>
      </c>
      <c r="D260" s="8" t="s">
        <v>1670</v>
      </c>
      <c r="E260" s="16" t="s">
        <v>1671</v>
      </c>
      <c r="F260" s="16">
        <v>888358.0</v>
      </c>
      <c r="G260" s="4"/>
      <c r="H260" s="16">
        <v>888358.0</v>
      </c>
      <c r="I260" s="16">
        <v>669937.0</v>
      </c>
      <c r="J260" s="16" t="s">
        <v>1672</v>
      </c>
      <c r="K260" s="16" t="s">
        <v>1673</v>
      </c>
      <c r="L260" s="16" t="s">
        <v>1672</v>
      </c>
      <c r="M260" s="16">
        <v>1995.0</v>
      </c>
      <c r="N260" s="18">
        <v>34894.0</v>
      </c>
      <c r="O260" s="18">
        <v>34894.0</v>
      </c>
      <c r="P260" s="16">
        <v>7373.0</v>
      </c>
      <c r="Q260" s="16">
        <v>7372.0</v>
      </c>
      <c r="R260" s="16">
        <v>15.0</v>
      </c>
      <c r="S260" s="4"/>
      <c r="T260" s="4"/>
      <c r="U260" s="4"/>
      <c r="V260" s="4"/>
      <c r="W260" s="4"/>
      <c r="X260" s="4"/>
      <c r="Y260" s="4"/>
    </row>
    <row r="261">
      <c r="A261" s="16" t="s">
        <v>1674</v>
      </c>
      <c r="B261" s="16">
        <v>1080747.0</v>
      </c>
      <c r="C261" s="8" t="s">
        <v>20</v>
      </c>
      <c r="D261" s="8" t="s">
        <v>1675</v>
      </c>
      <c r="E261" s="16" t="s">
        <v>1676</v>
      </c>
      <c r="F261" s="16">
        <v>1080747.0</v>
      </c>
      <c r="G261" s="4"/>
      <c r="H261" s="16">
        <v>1080747.0</v>
      </c>
      <c r="I261" s="16" t="s">
        <v>1677</v>
      </c>
      <c r="J261" s="16" t="s">
        <v>1678</v>
      </c>
      <c r="K261" s="16" t="s">
        <v>1678</v>
      </c>
      <c r="L261" s="16" t="s">
        <v>1678</v>
      </c>
      <c r="M261" s="16">
        <v>2012.0</v>
      </c>
      <c r="N261" s="18">
        <v>40941.0</v>
      </c>
      <c r="O261" s="18">
        <v>40941.0</v>
      </c>
      <c r="P261" s="16">
        <v>7373.0</v>
      </c>
      <c r="Q261" s="16">
        <v>7373.0</v>
      </c>
      <c r="R261" s="16">
        <v>10.0</v>
      </c>
      <c r="S261" s="4"/>
      <c r="T261" s="4"/>
      <c r="U261" s="4"/>
      <c r="V261" s="4"/>
      <c r="W261" s="4"/>
      <c r="X261" s="4"/>
      <c r="Y261" s="4"/>
    </row>
    <row r="262">
      <c r="A262" s="16" t="s">
        <v>1679</v>
      </c>
      <c r="B262" s="16">
        <v>1062777.0</v>
      </c>
      <c r="C262" s="8" t="s">
        <v>20</v>
      </c>
      <c r="D262" s="8" t="s">
        <v>1680</v>
      </c>
      <c r="E262" s="16" t="s">
        <v>1681</v>
      </c>
      <c r="F262" s="16">
        <v>1062777.0</v>
      </c>
      <c r="G262" s="4"/>
      <c r="H262" s="16">
        <v>1062777.0</v>
      </c>
      <c r="I262" s="16" t="s">
        <v>1682</v>
      </c>
      <c r="J262" s="16" t="s">
        <v>1683</v>
      </c>
      <c r="K262" s="16" t="s">
        <v>1684</v>
      </c>
      <c r="L262" s="16" t="s">
        <v>1683</v>
      </c>
      <c r="M262" s="16">
        <v>1998.0</v>
      </c>
      <c r="N262" s="18">
        <v>36018.0</v>
      </c>
      <c r="O262" s="18">
        <v>36018.0</v>
      </c>
      <c r="P262" s="16">
        <v>7375.0</v>
      </c>
      <c r="Q262" s="16">
        <v>7370.0</v>
      </c>
      <c r="R262" s="16">
        <v>17.0</v>
      </c>
      <c r="S262" s="4"/>
      <c r="T262" s="4"/>
      <c r="U262" s="4"/>
      <c r="V262" s="4"/>
      <c r="W262" s="4"/>
      <c r="X262" s="4"/>
      <c r="Y262" s="4"/>
    </row>
    <row r="263">
      <c r="A263" s="16" t="s">
        <v>1685</v>
      </c>
      <c r="B263" s="16">
        <v>1042282.0</v>
      </c>
      <c r="C263" s="8" t="s">
        <v>762</v>
      </c>
      <c r="D263" s="8" t="s">
        <v>1686</v>
      </c>
      <c r="E263" s="16" t="s">
        <v>1687</v>
      </c>
      <c r="F263" s="4"/>
      <c r="G263" s="4"/>
      <c r="H263" s="16">
        <v>1042282.0</v>
      </c>
      <c r="I263" s="16">
        <v>827907.0</v>
      </c>
      <c r="J263" s="16" t="s">
        <v>1688</v>
      </c>
      <c r="K263" s="16" t="s">
        <v>1688</v>
      </c>
      <c r="L263" s="16" t="s">
        <v>1688</v>
      </c>
      <c r="M263" s="16">
        <v>1999.0</v>
      </c>
      <c r="N263" s="18">
        <v>36389.0</v>
      </c>
      <c r="O263" s="18">
        <v>36389.0</v>
      </c>
      <c r="P263" s="16">
        <v>7373.0</v>
      </c>
      <c r="Q263" s="16">
        <v>7372.0</v>
      </c>
      <c r="R263" s="16">
        <v>16.0</v>
      </c>
      <c r="S263" s="4"/>
      <c r="T263" s="4"/>
      <c r="U263" s="4"/>
      <c r="V263" s="4"/>
      <c r="W263" s="4"/>
      <c r="X263" s="4"/>
      <c r="Y263" s="4"/>
    </row>
    <row r="264">
      <c r="A264" s="16" t="s">
        <v>1689</v>
      </c>
      <c r="B264" s="16">
        <v>1050446.0</v>
      </c>
      <c r="C264" s="8" t="s">
        <v>762</v>
      </c>
      <c r="D264" s="8" t="s">
        <v>1690</v>
      </c>
      <c r="E264" s="16" t="s">
        <v>1691</v>
      </c>
      <c r="F264" s="16">
        <v>1050446.0</v>
      </c>
      <c r="G264" s="16">
        <v>1050446.0</v>
      </c>
      <c r="H264" s="17">
        <v>1.05044600010504E16</v>
      </c>
      <c r="I264" s="16">
        <v>594972.0</v>
      </c>
      <c r="J264" s="16" t="s">
        <v>1692</v>
      </c>
      <c r="K264" s="16" t="s">
        <v>1692</v>
      </c>
      <c r="L264" s="16" t="s">
        <v>1692</v>
      </c>
      <c r="M264" s="16">
        <v>1998.0</v>
      </c>
      <c r="N264" s="18">
        <v>35957.0</v>
      </c>
      <c r="O264" s="18">
        <v>35957.0</v>
      </c>
      <c r="P264" s="16">
        <v>7372.0</v>
      </c>
      <c r="Q264" s="16">
        <v>7372.0</v>
      </c>
      <c r="R264" s="16">
        <v>12.0</v>
      </c>
      <c r="S264" s="4"/>
      <c r="T264" s="4"/>
      <c r="U264" s="4"/>
      <c r="V264" s="4"/>
      <c r="W264" s="4"/>
      <c r="X264" s="4"/>
      <c r="Y264" s="4"/>
    </row>
    <row r="265">
      <c r="A265" s="16" t="s">
        <v>1693</v>
      </c>
      <c r="B265" s="16">
        <v>1628945.0</v>
      </c>
      <c r="C265" s="8" t="s">
        <v>20</v>
      </c>
      <c r="D265" s="8" t="s">
        <v>1694</v>
      </c>
      <c r="E265" s="16" t="s">
        <v>1695</v>
      </c>
      <c r="F265" s="16">
        <v>1628945.0</v>
      </c>
      <c r="G265" s="4"/>
      <c r="H265" s="16">
        <v>1628945.0</v>
      </c>
      <c r="I265" s="16">
        <v>229790.0</v>
      </c>
      <c r="J265" s="16" t="s">
        <v>1696</v>
      </c>
      <c r="K265" s="16" t="s">
        <v>1697</v>
      </c>
      <c r="L265" s="16" t="s">
        <v>1696</v>
      </c>
      <c r="M265" s="16">
        <v>2021.0</v>
      </c>
      <c r="N265" s="18">
        <v>44463.0</v>
      </c>
      <c r="O265" s="18">
        <v>44463.0</v>
      </c>
      <c r="P265" s="16">
        <v>7372.0</v>
      </c>
      <c r="Q265" s="16">
        <v>3841.0</v>
      </c>
      <c r="R265" s="16">
        <v>16.0</v>
      </c>
      <c r="S265" s="4"/>
      <c r="T265" s="4"/>
      <c r="U265" s="4"/>
      <c r="V265" s="4"/>
      <c r="W265" s="4"/>
      <c r="X265" s="4"/>
      <c r="Y265" s="4"/>
    </row>
    <row r="266">
      <c r="A266" s="16" t="s">
        <v>1698</v>
      </c>
      <c r="B266" s="16">
        <v>1819790.0</v>
      </c>
      <c r="C266" s="8" t="s">
        <v>20</v>
      </c>
      <c r="D266" s="8" t="s">
        <v>1699</v>
      </c>
      <c r="E266" s="16" t="s">
        <v>1700</v>
      </c>
      <c r="F266" s="16">
        <v>1819790.0</v>
      </c>
      <c r="G266" s="16">
        <v>1819790.0</v>
      </c>
      <c r="H266" s="16">
        <v>1819790.0</v>
      </c>
      <c r="I266" s="16" t="s">
        <v>1701</v>
      </c>
      <c r="J266" s="16" t="s">
        <v>1702</v>
      </c>
      <c r="K266" s="16" t="s">
        <v>1702</v>
      </c>
      <c r="L266" s="16" t="s">
        <v>1702</v>
      </c>
      <c r="M266" s="16">
        <v>2020.0</v>
      </c>
      <c r="N266" s="18">
        <v>44120.0</v>
      </c>
      <c r="O266" s="18">
        <v>44120.0</v>
      </c>
      <c r="P266" s="16">
        <v>8731.0</v>
      </c>
      <c r="Q266" s="16">
        <v>2834.0</v>
      </c>
      <c r="R266" s="16">
        <v>16.0</v>
      </c>
      <c r="S266" s="4"/>
      <c r="T266" s="4"/>
      <c r="U266" s="4"/>
      <c r="V266" s="4"/>
      <c r="W266" s="4"/>
      <c r="X266" s="4"/>
      <c r="Y266" s="4"/>
    </row>
    <row r="267">
      <c r="A267" s="19" t="s">
        <v>1703</v>
      </c>
      <c r="B267" s="16">
        <v>1100408.0</v>
      </c>
      <c r="C267" s="8" t="s">
        <v>20</v>
      </c>
      <c r="D267" s="8" t="s">
        <v>1704</v>
      </c>
      <c r="E267" s="16" t="s">
        <v>1705</v>
      </c>
      <c r="F267" s="16">
        <v>1100408.0</v>
      </c>
      <c r="G267" s="4"/>
      <c r="H267" s="16">
        <v>1100408.0</v>
      </c>
      <c r="I267" s="16" t="s">
        <v>1706</v>
      </c>
      <c r="J267" s="16" t="s">
        <v>1707</v>
      </c>
      <c r="K267" s="16" t="s">
        <v>1707</v>
      </c>
      <c r="L267" s="16" t="s">
        <v>1707</v>
      </c>
      <c r="M267" s="16">
        <v>2000.0</v>
      </c>
      <c r="N267" s="18">
        <v>36595.0</v>
      </c>
      <c r="O267" s="18">
        <v>36595.0</v>
      </c>
      <c r="P267" s="16">
        <v>7375.0</v>
      </c>
      <c r="Q267" s="16">
        <v>5411.0</v>
      </c>
      <c r="R267" s="16">
        <v>12.0</v>
      </c>
      <c r="S267" s="4"/>
      <c r="T267" s="4"/>
      <c r="U267" s="4"/>
      <c r="V267" s="4"/>
      <c r="W267" s="4"/>
      <c r="X267" s="4"/>
      <c r="Y267" s="4"/>
    </row>
    <row r="268">
      <c r="A268" s="16" t="s">
        <v>1708</v>
      </c>
      <c r="B268" s="16">
        <v>1364954.0</v>
      </c>
      <c r="C268" s="8" t="s">
        <v>20</v>
      </c>
      <c r="D268" s="8" t="s">
        <v>1709</v>
      </c>
      <c r="E268" s="16" t="s">
        <v>1710</v>
      </c>
      <c r="F268" s="16">
        <v>1364954.0</v>
      </c>
      <c r="G268" s="16">
        <v>1364954.0</v>
      </c>
      <c r="H268" s="17">
        <v>1.36495400013649E16</v>
      </c>
      <c r="I268" s="16">
        <v>163092.0</v>
      </c>
      <c r="J268" s="16" t="s">
        <v>1711</v>
      </c>
      <c r="K268" s="16" t="s">
        <v>1711</v>
      </c>
      <c r="L268" s="16" t="s">
        <v>1711</v>
      </c>
      <c r="M268" s="16">
        <v>2013.0</v>
      </c>
      <c r="N268" s="18">
        <v>41591.0</v>
      </c>
      <c r="O268" s="18">
        <v>41591.0</v>
      </c>
      <c r="P268" s="16">
        <v>7375.0</v>
      </c>
      <c r="Q268" s="16">
        <v>7370.0</v>
      </c>
      <c r="R268" s="16">
        <v>12.5</v>
      </c>
      <c r="S268" s="4"/>
      <c r="T268" s="4"/>
      <c r="U268" s="4"/>
      <c r="V268" s="4"/>
      <c r="W268" s="4"/>
      <c r="X268" s="4"/>
      <c r="Y268" s="4"/>
    </row>
    <row r="269">
      <c r="A269" s="16" t="s">
        <v>1712</v>
      </c>
      <c r="B269" s="16">
        <v>1043769.0</v>
      </c>
      <c r="C269" s="8" t="s">
        <v>762</v>
      </c>
      <c r="D269" s="8" t="s">
        <v>1713</v>
      </c>
      <c r="E269" s="16" t="s">
        <v>1714</v>
      </c>
      <c r="F269" s="16">
        <v>1043769.0</v>
      </c>
      <c r="G269" s="4"/>
      <c r="H269" s="16">
        <v>1043769.0</v>
      </c>
      <c r="I269" s="16">
        <v>222814.0</v>
      </c>
      <c r="J269" s="16" t="s">
        <v>1715</v>
      </c>
      <c r="K269" s="16" t="s">
        <v>1716</v>
      </c>
      <c r="L269" s="16" t="s">
        <v>1715</v>
      </c>
      <c r="M269" s="16">
        <v>1999.0</v>
      </c>
      <c r="N269" s="18">
        <v>36073.0</v>
      </c>
      <c r="O269" s="18">
        <v>36073.0</v>
      </c>
      <c r="P269" s="16">
        <v>7375.0</v>
      </c>
      <c r="Q269" s="16">
        <v>4813.0</v>
      </c>
      <c r="R269" s="16">
        <v>18.0</v>
      </c>
      <c r="S269" s="4"/>
      <c r="T269" s="4"/>
      <c r="U269" s="4"/>
      <c r="V269" s="4"/>
      <c r="W269" s="4"/>
      <c r="X269" s="4"/>
      <c r="Y269" s="4"/>
    </row>
    <row r="270">
      <c r="A270" s="16" t="s">
        <v>1717</v>
      </c>
      <c r="B270" s="16">
        <v>1029299.0</v>
      </c>
      <c r="C270" s="8" t="s">
        <v>762</v>
      </c>
      <c r="D270" s="8" t="s">
        <v>1718</v>
      </c>
      <c r="E270" s="16" t="s">
        <v>1719</v>
      </c>
      <c r="F270" s="16">
        <v>1029299.0</v>
      </c>
      <c r="G270" s="4"/>
      <c r="H270" s="16">
        <v>1029299.0</v>
      </c>
      <c r="I270" s="16" t="s">
        <v>1720</v>
      </c>
      <c r="J270" s="16" t="s">
        <v>1721</v>
      </c>
      <c r="K270" s="16" t="s">
        <v>1721</v>
      </c>
      <c r="L270" s="4"/>
      <c r="M270" s="16">
        <v>2007.0</v>
      </c>
      <c r="N270" s="18">
        <v>35486.0</v>
      </c>
      <c r="O270" s="18">
        <v>35486.0</v>
      </c>
      <c r="P270" s="16">
        <v>7372.0</v>
      </c>
      <c r="Q270" s="16">
        <v>7372.0</v>
      </c>
      <c r="R270" s="16">
        <v>18.0</v>
      </c>
      <c r="S270" s="4"/>
      <c r="T270" s="4"/>
      <c r="U270" s="4"/>
      <c r="V270" s="4"/>
      <c r="W270" s="4"/>
      <c r="X270" s="4"/>
      <c r="Y270" s="4"/>
    </row>
    <row r="271">
      <c r="A271" s="16" t="s">
        <v>1722</v>
      </c>
      <c r="B271" s="16">
        <v>1005700.0</v>
      </c>
      <c r="C271" s="8" t="s">
        <v>762</v>
      </c>
      <c r="D271" s="8" t="s">
        <v>1723</v>
      </c>
      <c r="E271" s="16" t="s">
        <v>1724</v>
      </c>
      <c r="F271" s="16">
        <v>1005700.0</v>
      </c>
      <c r="G271" s="4"/>
      <c r="H271" s="16">
        <v>1005700.0</v>
      </c>
      <c r="I271" s="16">
        <v>237823.0</v>
      </c>
      <c r="J271" s="16" t="s">
        <v>1725</v>
      </c>
      <c r="K271" s="16" t="s">
        <v>1725</v>
      </c>
      <c r="L271" s="16" t="s">
        <v>1725</v>
      </c>
      <c r="M271" s="16">
        <v>1996.0</v>
      </c>
      <c r="N271" s="18">
        <v>35129.0</v>
      </c>
      <c r="O271" s="18">
        <v>35129.0</v>
      </c>
      <c r="P271" s="16">
        <v>7373.0</v>
      </c>
      <c r="Q271" s="16">
        <v>7363.0</v>
      </c>
      <c r="R271" s="16">
        <v>14.0</v>
      </c>
      <c r="S271" s="4"/>
      <c r="T271" s="4"/>
      <c r="U271" s="4"/>
      <c r="V271" s="4"/>
      <c r="W271" s="4"/>
      <c r="X271" s="4"/>
      <c r="Y271" s="4"/>
    </row>
    <row r="272">
      <c r="A272" s="16" t="s">
        <v>1726</v>
      </c>
      <c r="B272" s="16">
        <v>1319197.0</v>
      </c>
      <c r="C272" s="8" t="s">
        <v>20</v>
      </c>
      <c r="D272" s="8" t="s">
        <v>1727</v>
      </c>
      <c r="E272" s="16" t="s">
        <v>1728</v>
      </c>
      <c r="F272" s="16">
        <v>1319197.0</v>
      </c>
      <c r="G272" s="4"/>
      <c r="H272" s="17">
        <v>1.12620100013191E16</v>
      </c>
      <c r="I272" s="16" t="s">
        <v>1729</v>
      </c>
      <c r="J272" s="16" t="s">
        <v>1730</v>
      </c>
      <c r="K272" s="16" t="s">
        <v>1730</v>
      </c>
      <c r="L272" s="16" t="s">
        <v>1730</v>
      </c>
      <c r="M272" s="16">
        <v>2005.0</v>
      </c>
      <c r="N272" s="18">
        <v>38574.0</v>
      </c>
      <c r="O272" s="18">
        <v>38574.0</v>
      </c>
      <c r="P272" s="16">
        <v>8731.0</v>
      </c>
      <c r="Q272" s="16">
        <v>2836.0</v>
      </c>
      <c r="R272" s="16">
        <v>16.0</v>
      </c>
      <c r="S272" s="4"/>
      <c r="T272" s="4"/>
      <c r="U272" s="4"/>
      <c r="V272" s="4"/>
      <c r="W272" s="4"/>
      <c r="X272" s="4"/>
      <c r="Y272" s="4"/>
    </row>
    <row r="273">
      <c r="A273" s="16" t="s">
        <v>1731</v>
      </c>
      <c r="B273" s="16">
        <v>1040339.0</v>
      </c>
      <c r="C273" s="8" t="s">
        <v>749</v>
      </c>
      <c r="D273" s="8" t="s">
        <v>1732</v>
      </c>
      <c r="E273" s="16" t="s">
        <v>1733</v>
      </c>
      <c r="F273" s="4"/>
      <c r="G273" s="4"/>
      <c r="H273" s="17">
        <v>1.04033900011722E16</v>
      </c>
      <c r="I273" s="16" t="s">
        <v>1734</v>
      </c>
      <c r="J273" s="16" t="s">
        <v>1735</v>
      </c>
      <c r="K273" s="16" t="s">
        <v>1735</v>
      </c>
      <c r="L273" s="16" t="s">
        <v>1735</v>
      </c>
      <c r="M273" s="16">
        <v>1997.0</v>
      </c>
      <c r="N273" s="18">
        <v>35695.0</v>
      </c>
      <c r="O273" s="18">
        <v>35695.0</v>
      </c>
      <c r="P273" s="16">
        <v>6712.0</v>
      </c>
      <c r="Q273" s="16">
        <v>6020.0</v>
      </c>
      <c r="R273" s="16">
        <v>13.5</v>
      </c>
      <c r="S273" s="4"/>
      <c r="T273" s="4"/>
      <c r="U273" s="4"/>
      <c r="V273" s="4"/>
      <c r="W273" s="4"/>
      <c r="X273" s="4"/>
      <c r="Y273" s="4"/>
    </row>
    <row r="274">
      <c r="A274" s="16" t="s">
        <v>1736</v>
      </c>
      <c r="B274" s="16">
        <v>1297989.0</v>
      </c>
      <c r="C274" s="8" t="s">
        <v>762</v>
      </c>
      <c r="D274" s="8" t="s">
        <v>1737</v>
      </c>
      <c r="E274" s="16" t="s">
        <v>1738</v>
      </c>
      <c r="F274" s="16">
        <v>1297989.0</v>
      </c>
      <c r="G274" s="16">
        <v>1297989.0</v>
      </c>
      <c r="H274" s="16">
        <v>1297989.0</v>
      </c>
      <c r="I274" s="16">
        <v>302081.0</v>
      </c>
      <c r="J274" s="16" t="s">
        <v>1739</v>
      </c>
      <c r="K274" s="16" t="s">
        <v>1739</v>
      </c>
      <c r="L274" s="16" t="s">
        <v>1739</v>
      </c>
      <c r="M274" s="16">
        <v>2006.0</v>
      </c>
      <c r="N274" s="18">
        <v>39010.0</v>
      </c>
      <c r="O274" s="18">
        <v>39010.0</v>
      </c>
      <c r="P274" s="16">
        <v>7389.0</v>
      </c>
      <c r="Q274" s="16">
        <v>7374.0</v>
      </c>
      <c r="R274" s="16">
        <v>13.5</v>
      </c>
      <c r="S274" s="4"/>
      <c r="T274" s="4"/>
      <c r="U274" s="4"/>
      <c r="V274" s="4"/>
      <c r="W274" s="4"/>
      <c r="X274" s="4"/>
      <c r="Y274" s="4"/>
    </row>
    <row r="275">
      <c r="A275" s="16" t="s">
        <v>1740</v>
      </c>
      <c r="B275" s="16">
        <v>761111.0</v>
      </c>
      <c r="C275" s="8" t="s">
        <v>749</v>
      </c>
      <c r="D275" s="8" t="s">
        <v>1741</v>
      </c>
      <c r="E275" s="4"/>
      <c r="F275" s="4"/>
      <c r="G275" s="4"/>
      <c r="H275" s="16">
        <v>761111.0</v>
      </c>
      <c r="I275" s="16" t="s">
        <v>1742</v>
      </c>
      <c r="J275" s="16" t="s">
        <v>1743</v>
      </c>
      <c r="K275" s="4"/>
      <c r="L275" s="16" t="s">
        <v>1743</v>
      </c>
      <c r="M275" s="16">
        <v>1998.0</v>
      </c>
      <c r="N275" s="4"/>
      <c r="O275" s="4"/>
      <c r="P275" s="16">
        <v>6022.0</v>
      </c>
      <c r="Q275" s="4"/>
      <c r="R275" s="16">
        <v>11.0</v>
      </c>
      <c r="S275" s="4"/>
      <c r="T275" s="4"/>
      <c r="U275" s="4"/>
      <c r="V275" s="4"/>
      <c r="W275" s="4"/>
      <c r="X275" s="4"/>
      <c r="Y275" s="4"/>
    </row>
    <row r="276">
      <c r="A276" s="16" t="s">
        <v>1744</v>
      </c>
      <c r="B276" s="16">
        <v>937965.0</v>
      </c>
      <c r="C276" s="8" t="s">
        <v>749</v>
      </c>
      <c r="D276" s="8" t="s">
        <v>1745</v>
      </c>
      <c r="E276" s="16" t="s">
        <v>1746</v>
      </c>
      <c r="F276" s="16">
        <v>937965.0</v>
      </c>
      <c r="G276" s="4"/>
      <c r="H276" s="17">
        <v>1.17727800009379E16</v>
      </c>
      <c r="I276" s="16">
        <v>368749.0</v>
      </c>
      <c r="J276" s="16" t="s">
        <v>1747</v>
      </c>
      <c r="K276" s="16" t="s">
        <v>1747</v>
      </c>
      <c r="L276" s="16" t="s">
        <v>1747</v>
      </c>
      <c r="M276" s="16">
        <v>1995.0</v>
      </c>
      <c r="N276" s="18">
        <v>34795.0</v>
      </c>
      <c r="O276" s="18">
        <v>34795.0</v>
      </c>
      <c r="P276" s="16">
        <v>6141.0</v>
      </c>
      <c r="Q276" s="16">
        <v>6141.0</v>
      </c>
      <c r="R276" s="16">
        <v>17.0</v>
      </c>
      <c r="S276" s="4"/>
      <c r="T276" s="4"/>
      <c r="U276" s="4"/>
      <c r="V276" s="4"/>
      <c r="W276" s="4"/>
      <c r="X276" s="4"/>
      <c r="Y276" s="4"/>
    </row>
    <row r="277">
      <c r="A277" s="16" t="s">
        <v>1748</v>
      </c>
      <c r="B277" s="16">
        <v>1095330.0</v>
      </c>
      <c r="C277" s="8" t="s">
        <v>20</v>
      </c>
      <c r="D277" s="8" t="s">
        <v>1749</v>
      </c>
      <c r="E277" s="16" t="s">
        <v>1750</v>
      </c>
      <c r="F277" s="16">
        <v>1095330.0</v>
      </c>
      <c r="G277" s="4"/>
      <c r="H277" s="16">
        <v>1095330.0</v>
      </c>
      <c r="I277" s="16" t="s">
        <v>1751</v>
      </c>
      <c r="J277" s="16" t="s">
        <v>1752</v>
      </c>
      <c r="K277" s="16" t="s">
        <v>1752</v>
      </c>
      <c r="L277" s="16" t="s">
        <v>1752</v>
      </c>
      <c r="M277" s="16">
        <v>1999.0</v>
      </c>
      <c r="N277" s="18">
        <v>36482.0</v>
      </c>
      <c r="O277" s="18">
        <v>36482.0</v>
      </c>
      <c r="P277" s="16">
        <v>7372.0</v>
      </c>
      <c r="Q277" s="16">
        <v>7372.0</v>
      </c>
      <c r="R277" s="16">
        <v>14.0</v>
      </c>
      <c r="S277" s="4"/>
      <c r="T277" s="4"/>
      <c r="U277" s="4"/>
      <c r="V277" s="4"/>
      <c r="W277" s="4"/>
      <c r="X277" s="4"/>
      <c r="Y277" s="4"/>
    </row>
    <row r="278">
      <c r="A278" s="16" t="s">
        <v>1753</v>
      </c>
      <c r="B278" s="16">
        <v>1016613.0</v>
      </c>
      <c r="C278" s="8" t="s">
        <v>20</v>
      </c>
      <c r="D278" s="8" t="s">
        <v>1754</v>
      </c>
      <c r="E278" s="4"/>
      <c r="F278" s="4"/>
      <c r="G278" s="4"/>
      <c r="H278" s="16">
        <v>1016613.0</v>
      </c>
      <c r="I278" s="16" t="s">
        <v>1755</v>
      </c>
      <c r="J278" s="16" t="s">
        <v>1756</v>
      </c>
      <c r="K278" s="4"/>
      <c r="L278" s="16" t="s">
        <v>1756</v>
      </c>
      <c r="M278" s="16">
        <v>1999.0</v>
      </c>
      <c r="N278" s="4"/>
      <c r="O278" s="4"/>
      <c r="P278" s="16">
        <v>7372.0</v>
      </c>
      <c r="Q278" s="4"/>
      <c r="R278" s="16">
        <v>15.0</v>
      </c>
      <c r="S278" s="4"/>
      <c r="T278" s="4"/>
      <c r="U278" s="4"/>
      <c r="V278" s="4"/>
      <c r="W278" s="4"/>
      <c r="X278" s="4"/>
      <c r="Y278" s="4"/>
    </row>
    <row r="279">
      <c r="A279" s="16" t="s">
        <v>1757</v>
      </c>
      <c r="B279" s="16">
        <v>1614067.0</v>
      </c>
      <c r="C279" s="8" t="s">
        <v>20</v>
      </c>
      <c r="D279" s="8" t="s">
        <v>1758</v>
      </c>
      <c r="E279" s="4"/>
      <c r="F279" s="4"/>
      <c r="G279" s="4"/>
      <c r="H279" s="16">
        <v>1614067.0</v>
      </c>
      <c r="I279" s="16">
        <v>40334.0</v>
      </c>
      <c r="J279" s="16" t="s">
        <v>1759</v>
      </c>
      <c r="K279" s="4"/>
      <c r="L279" s="16" t="s">
        <v>1759</v>
      </c>
      <c r="M279" s="16">
        <v>2018.0</v>
      </c>
      <c r="N279" s="4"/>
      <c r="O279" s="4"/>
      <c r="P279" s="16">
        <v>8731.0</v>
      </c>
      <c r="Q279" s="4"/>
      <c r="R279" s="16">
        <v>13.0</v>
      </c>
      <c r="S279" s="4"/>
      <c r="T279" s="4"/>
      <c r="U279" s="4"/>
      <c r="V279" s="4"/>
      <c r="W279" s="4"/>
      <c r="X279" s="4"/>
      <c r="Y279" s="4"/>
    </row>
    <row r="280">
      <c r="A280" s="16" t="s">
        <v>1760</v>
      </c>
      <c r="B280" s="16">
        <v>1076643.0</v>
      </c>
      <c r="C280" s="8" t="s">
        <v>762</v>
      </c>
      <c r="D280" s="8" t="s">
        <v>1761</v>
      </c>
      <c r="E280" s="16" t="s">
        <v>1762</v>
      </c>
      <c r="F280" s="16">
        <v>1076643.0</v>
      </c>
      <c r="G280" s="16">
        <v>1505065.0</v>
      </c>
      <c r="H280" s="16">
        <v>1076643.0</v>
      </c>
      <c r="I280" s="16">
        <v>106372.0</v>
      </c>
      <c r="J280" s="16" t="s">
        <v>1763</v>
      </c>
      <c r="K280" s="16" t="s">
        <v>1764</v>
      </c>
      <c r="L280" s="16" t="s">
        <v>1763</v>
      </c>
      <c r="M280" s="16">
        <v>1999.0</v>
      </c>
      <c r="N280" s="18">
        <v>36439.0</v>
      </c>
      <c r="O280" s="18">
        <v>36439.0</v>
      </c>
      <c r="P280" s="16">
        <v>7372.0</v>
      </c>
      <c r="Q280" s="16">
        <v>7373.0</v>
      </c>
      <c r="R280" s="16">
        <v>14.0</v>
      </c>
      <c r="S280" s="4"/>
      <c r="T280" s="4"/>
      <c r="U280" s="4"/>
      <c r="V280" s="4"/>
      <c r="W280" s="4"/>
      <c r="X280" s="4"/>
      <c r="Y280" s="4"/>
    </row>
    <row r="281">
      <c r="A281" s="16" t="s">
        <v>1765</v>
      </c>
      <c r="B281" s="16">
        <v>1034011.0</v>
      </c>
      <c r="C281" s="8" t="s">
        <v>749</v>
      </c>
      <c r="D281" s="8" t="s">
        <v>1766</v>
      </c>
      <c r="E281" s="16" t="s">
        <v>1767</v>
      </c>
      <c r="F281" s="16">
        <v>1034011.0</v>
      </c>
      <c r="G281" s="4"/>
      <c r="H281" s="16">
        <v>1034011.0</v>
      </c>
      <c r="I281" s="16">
        <v>542446.0</v>
      </c>
      <c r="J281" s="16" t="s">
        <v>1768</v>
      </c>
      <c r="K281" s="16" t="s">
        <v>1768</v>
      </c>
      <c r="L281" s="4"/>
      <c r="M281" s="16">
        <v>1997.0</v>
      </c>
      <c r="N281" s="18">
        <v>35548.0</v>
      </c>
      <c r="O281" s="18">
        <v>35548.0</v>
      </c>
      <c r="P281" s="16">
        <v>6162.0</v>
      </c>
      <c r="Q281" s="16">
        <v>6162.0</v>
      </c>
      <c r="R281" s="16">
        <v>6.5</v>
      </c>
      <c r="S281" s="4"/>
      <c r="T281" s="4"/>
      <c r="U281" s="4"/>
      <c r="V281" s="4"/>
      <c r="W281" s="4"/>
      <c r="X281" s="4"/>
      <c r="Y281" s="4"/>
    </row>
    <row r="282">
      <c r="A282" s="16" t="s">
        <v>1769</v>
      </c>
      <c r="B282" s="16">
        <v>1412270.0</v>
      </c>
      <c r="C282" s="8" t="s">
        <v>20</v>
      </c>
      <c r="D282" s="8" t="s">
        <v>1770</v>
      </c>
      <c r="E282" s="16" t="s">
        <v>1771</v>
      </c>
      <c r="F282" s="16">
        <v>1412270.0</v>
      </c>
      <c r="G282" s="4"/>
      <c r="H282" s="16">
        <v>1412270.0</v>
      </c>
      <c r="I282" s="16">
        <v>141633.0</v>
      </c>
      <c r="J282" s="16" t="s">
        <v>1772</v>
      </c>
      <c r="K282" s="16" t="s">
        <v>1772</v>
      </c>
      <c r="L282" s="16" t="s">
        <v>1772</v>
      </c>
      <c r="M282" s="16">
        <v>2014.0</v>
      </c>
      <c r="N282" s="18">
        <v>41663.0</v>
      </c>
      <c r="O282" s="18">
        <v>41663.0</v>
      </c>
      <c r="P282" s="16">
        <v>7375.0</v>
      </c>
      <c r="Q282" s="16">
        <v>7370.0</v>
      </c>
      <c r="R282" s="16">
        <v>17.0</v>
      </c>
      <c r="S282" s="4"/>
      <c r="T282" s="4"/>
      <c r="U282" s="4"/>
      <c r="V282" s="4"/>
      <c r="W282" s="4"/>
      <c r="X282" s="4"/>
      <c r="Y282" s="4"/>
    </row>
    <row r="283">
      <c r="A283" s="16" t="s">
        <v>1773</v>
      </c>
      <c r="B283" s="16">
        <v>2018064.0</v>
      </c>
      <c r="C283" s="8" t="s">
        <v>20</v>
      </c>
      <c r="D283" s="8" t="s">
        <v>1774</v>
      </c>
      <c r="E283" s="4"/>
      <c r="F283" s="4"/>
      <c r="G283" s="16">
        <v>2018064.0</v>
      </c>
      <c r="H283" s="17">
        <v>1.2932820002018E16</v>
      </c>
      <c r="I283" s="16" t="s">
        <v>1775</v>
      </c>
      <c r="J283" s="16" t="s">
        <v>1776</v>
      </c>
      <c r="K283" s="4"/>
      <c r="L283" s="16" t="s">
        <v>1776</v>
      </c>
      <c r="M283" s="16">
        <v>2007.0</v>
      </c>
      <c r="N283" s="4"/>
      <c r="O283" s="4"/>
      <c r="P283" s="16">
        <v>7375.0</v>
      </c>
      <c r="Q283" s="4"/>
      <c r="R283" s="16">
        <v>13.0</v>
      </c>
      <c r="S283" s="4"/>
      <c r="T283" s="4"/>
      <c r="U283" s="4"/>
      <c r="V283" s="4"/>
      <c r="W283" s="4"/>
      <c r="X283" s="4"/>
      <c r="Y283" s="4"/>
    </row>
    <row r="284">
      <c r="A284" s="16" t="s">
        <v>1777</v>
      </c>
      <c r="B284" s="16">
        <v>1007021.0</v>
      </c>
      <c r="C284" s="8" t="s">
        <v>20</v>
      </c>
      <c r="D284" s="8" t="s">
        <v>1778</v>
      </c>
      <c r="E284" s="16" t="s">
        <v>1779</v>
      </c>
      <c r="F284" s="16">
        <v>1007021.0</v>
      </c>
      <c r="G284" s="4"/>
      <c r="H284" s="16">
        <v>1007021.0</v>
      </c>
      <c r="I284" s="16">
        <v>980903.0</v>
      </c>
      <c r="J284" s="16" t="s">
        <v>1780</v>
      </c>
      <c r="K284" s="16" t="s">
        <v>1781</v>
      </c>
      <c r="L284" s="16" t="s">
        <v>1780</v>
      </c>
      <c r="M284" s="16">
        <v>1996.0</v>
      </c>
      <c r="N284" s="18">
        <v>35145.0</v>
      </c>
      <c r="O284" s="18">
        <v>35145.0</v>
      </c>
      <c r="P284" s="16">
        <v>7372.0</v>
      </c>
      <c r="Q284" s="16">
        <v>7372.0</v>
      </c>
      <c r="R284" s="16">
        <v>15.0</v>
      </c>
      <c r="S284" s="4"/>
      <c r="T284" s="4"/>
      <c r="U284" s="4"/>
      <c r="V284" s="4"/>
      <c r="W284" s="4"/>
      <c r="X284" s="4"/>
      <c r="Y284" s="4"/>
    </row>
    <row r="285">
      <c r="A285" s="16" t="s">
        <v>1782</v>
      </c>
      <c r="B285" s="16">
        <v>1035748.0</v>
      </c>
      <c r="C285" s="8" t="s">
        <v>762</v>
      </c>
      <c r="D285" s="8" t="s">
        <v>1783</v>
      </c>
      <c r="E285" s="16" t="s">
        <v>1784</v>
      </c>
      <c r="F285" s="16">
        <v>1035748.0</v>
      </c>
      <c r="G285" s="4"/>
      <c r="H285" s="16">
        <v>1035748.0</v>
      </c>
      <c r="I285" s="16" t="s">
        <v>1785</v>
      </c>
      <c r="J285" s="16" t="s">
        <v>1786</v>
      </c>
      <c r="K285" s="16" t="s">
        <v>1786</v>
      </c>
      <c r="L285" s="16" t="s">
        <v>1786</v>
      </c>
      <c r="M285" s="16">
        <v>2003.0</v>
      </c>
      <c r="N285" s="18">
        <v>37945.0</v>
      </c>
      <c r="O285" s="18">
        <v>37945.0</v>
      </c>
      <c r="P285" s="16">
        <v>7372.0</v>
      </c>
      <c r="Q285" s="16">
        <v>7372.0</v>
      </c>
      <c r="R285" s="16">
        <v>14.0</v>
      </c>
      <c r="S285" s="4"/>
      <c r="T285" s="4"/>
      <c r="U285" s="4"/>
      <c r="V285" s="4"/>
      <c r="W285" s="4"/>
      <c r="X285" s="4"/>
      <c r="Y285" s="4"/>
    </row>
    <row r="286">
      <c r="A286" s="16" t="s">
        <v>1787</v>
      </c>
      <c r="B286" s="16">
        <v>1333513.0</v>
      </c>
      <c r="C286" s="8" t="s">
        <v>749</v>
      </c>
      <c r="D286" s="8" t="s">
        <v>1788</v>
      </c>
      <c r="E286" s="16" t="s">
        <v>1789</v>
      </c>
      <c r="F286" s="16">
        <v>1333513.0</v>
      </c>
      <c r="G286" s="16">
        <v>50471.0</v>
      </c>
      <c r="H286" s="17">
        <v>1.16494100013335E16</v>
      </c>
      <c r="I286" s="16">
        <v>242309.0</v>
      </c>
      <c r="J286" s="16" t="s">
        <v>1790</v>
      </c>
      <c r="K286" s="16" t="s">
        <v>1791</v>
      </c>
      <c r="L286" s="16" t="s">
        <v>1790</v>
      </c>
      <c r="M286" s="16">
        <v>2005.0</v>
      </c>
      <c r="N286" s="18">
        <v>38699.0</v>
      </c>
      <c r="O286" s="18">
        <v>38699.0</v>
      </c>
      <c r="P286" s="16">
        <v>7373.0</v>
      </c>
      <c r="Q286" s="16">
        <v>7370.0</v>
      </c>
      <c r="R286" s="16">
        <v>17.0</v>
      </c>
      <c r="S286" s="4"/>
      <c r="T286" s="4"/>
      <c r="U286" s="4"/>
      <c r="V286" s="4"/>
      <c r="W286" s="4"/>
      <c r="X286" s="4"/>
      <c r="Y286" s="4"/>
    </row>
    <row r="287">
      <c r="A287" s="16" t="s">
        <v>1792</v>
      </c>
      <c r="B287" s="16">
        <v>1002917.0</v>
      </c>
      <c r="C287" s="8" t="s">
        <v>20</v>
      </c>
      <c r="D287" s="8" t="s">
        <v>1793</v>
      </c>
      <c r="E287" s="16" t="s">
        <v>1794</v>
      </c>
      <c r="F287" s="16">
        <v>1002917.0</v>
      </c>
      <c r="G287" s="4"/>
      <c r="H287" s="16">
        <v>1002917.0</v>
      </c>
      <c r="I287" s="16">
        <v>367596.0</v>
      </c>
      <c r="J287" s="16" t="s">
        <v>1795</v>
      </c>
      <c r="K287" s="16" t="s">
        <v>1796</v>
      </c>
      <c r="L287" s="16" t="s">
        <v>1795</v>
      </c>
      <c r="M287" s="16">
        <v>1996.0</v>
      </c>
      <c r="N287" s="18">
        <v>35143.0</v>
      </c>
      <c r="O287" s="18">
        <v>35143.0</v>
      </c>
      <c r="P287" s="16">
        <v>7372.0</v>
      </c>
      <c r="Q287" s="16">
        <v>7373.0</v>
      </c>
      <c r="R287" s="16">
        <v>6.75</v>
      </c>
      <c r="S287" s="4"/>
      <c r="T287" s="4"/>
      <c r="U287" s="4"/>
      <c r="V287" s="4"/>
      <c r="W287" s="4"/>
      <c r="X287" s="4"/>
      <c r="Y287" s="4"/>
    </row>
    <row r="288">
      <c r="A288" s="16" t="s">
        <v>1797</v>
      </c>
      <c r="B288" s="16">
        <v>1476034.0</v>
      </c>
      <c r="C288" s="8" t="s">
        <v>749</v>
      </c>
      <c r="D288" s="8" t="s">
        <v>1798</v>
      </c>
      <c r="E288" s="16" t="s">
        <v>1799</v>
      </c>
      <c r="F288" s="16">
        <v>1476034.0</v>
      </c>
      <c r="G288" s="16">
        <v>1476034.0</v>
      </c>
      <c r="H288" s="16">
        <v>1476034.0</v>
      </c>
      <c r="I288" s="16">
        <v>591774.0</v>
      </c>
      <c r="J288" s="16" t="s">
        <v>1800</v>
      </c>
      <c r="K288" s="16" t="s">
        <v>1800</v>
      </c>
      <c r="L288" s="16" t="s">
        <v>1800</v>
      </c>
      <c r="M288" s="16">
        <v>2017.0</v>
      </c>
      <c r="N288" s="18">
        <v>43047.0</v>
      </c>
      <c r="O288" s="18">
        <v>43047.0</v>
      </c>
      <c r="P288" s="16">
        <v>6021.0</v>
      </c>
      <c r="Q288" s="16">
        <v>6020.0</v>
      </c>
      <c r="R288" s="16">
        <v>35.0</v>
      </c>
      <c r="S288" s="4"/>
      <c r="T288" s="4"/>
      <c r="U288" s="4"/>
      <c r="V288" s="4"/>
      <c r="W288" s="4"/>
      <c r="X288" s="4"/>
      <c r="Y288" s="4"/>
    </row>
    <row r="289">
      <c r="A289" s="16" t="s">
        <v>1801</v>
      </c>
      <c r="B289" s="16">
        <v>1086403.0</v>
      </c>
      <c r="C289" s="8" t="s">
        <v>20</v>
      </c>
      <c r="D289" s="8" t="s">
        <v>1802</v>
      </c>
      <c r="E289" s="4"/>
      <c r="F289" s="4"/>
      <c r="G289" s="4"/>
      <c r="H289" s="16">
        <v>1086403.0</v>
      </c>
      <c r="I289" s="16">
        <v>8447.0</v>
      </c>
      <c r="J289" s="16" t="s">
        <v>1803</v>
      </c>
      <c r="K289" s="4"/>
      <c r="L289" s="16" t="s">
        <v>1803</v>
      </c>
      <c r="M289" s="16">
        <v>1999.0</v>
      </c>
      <c r="N289" s="4"/>
      <c r="O289" s="4"/>
      <c r="P289" s="16">
        <v>7389.0</v>
      </c>
      <c r="Q289" s="4"/>
      <c r="R289" s="16">
        <v>26.0</v>
      </c>
      <c r="S289" s="4"/>
      <c r="T289" s="4"/>
      <c r="U289" s="4"/>
      <c r="V289" s="4"/>
      <c r="W289" s="4"/>
      <c r="X289" s="4"/>
      <c r="Y289" s="4"/>
    </row>
    <row r="290">
      <c r="A290" s="16" t="s">
        <v>1804</v>
      </c>
      <c r="B290" s="16">
        <v>1329919.0</v>
      </c>
      <c r="C290" s="8" t="s">
        <v>20</v>
      </c>
      <c r="D290" s="8" t="s">
        <v>1805</v>
      </c>
      <c r="E290" s="16" t="s">
        <v>1806</v>
      </c>
      <c r="F290" s="16">
        <v>1329919.0</v>
      </c>
      <c r="G290" s="4"/>
      <c r="H290" s="17">
        <v>1.10478900013299E16</v>
      </c>
      <c r="I290" s="16" t="s">
        <v>1807</v>
      </c>
      <c r="J290" s="4"/>
      <c r="K290" s="16" t="s">
        <v>1808</v>
      </c>
      <c r="L290" s="4"/>
      <c r="M290" s="16">
        <v>2005.0</v>
      </c>
      <c r="N290" s="18">
        <v>38693.0</v>
      </c>
      <c r="O290" s="18">
        <v>38693.0</v>
      </c>
      <c r="P290" s="16">
        <v>7372.0</v>
      </c>
      <c r="Q290" s="16">
        <v>7372.0</v>
      </c>
      <c r="R290" s="16">
        <v>9.0</v>
      </c>
      <c r="S290" s="4"/>
      <c r="T290" s="4"/>
      <c r="U290" s="4"/>
      <c r="V290" s="4"/>
      <c r="W290" s="4"/>
      <c r="X290" s="4"/>
      <c r="Y290" s="4"/>
    </row>
    <row r="291">
      <c r="A291" s="16" t="s">
        <v>1809</v>
      </c>
      <c r="B291" s="16">
        <v>888999.0</v>
      </c>
      <c r="C291" s="8" t="s">
        <v>20</v>
      </c>
      <c r="D291" s="8" t="s">
        <v>1810</v>
      </c>
      <c r="E291" s="16" t="s">
        <v>1811</v>
      </c>
      <c r="F291" s="16">
        <v>888999.0</v>
      </c>
      <c r="G291" s="4"/>
      <c r="H291" s="16">
        <v>888999.0</v>
      </c>
      <c r="I291" s="16">
        <v>591591.0</v>
      </c>
      <c r="J291" s="16" t="s">
        <v>1812</v>
      </c>
      <c r="K291" s="16" t="s">
        <v>1812</v>
      </c>
      <c r="L291" s="16" t="s">
        <v>1812</v>
      </c>
      <c r="M291" s="16">
        <v>1995.0</v>
      </c>
      <c r="N291" s="18">
        <v>34880.0</v>
      </c>
      <c r="O291" s="18">
        <v>34880.0</v>
      </c>
      <c r="P291" s="16">
        <v>8731.0</v>
      </c>
      <c r="Q291" s="16">
        <v>2835.0</v>
      </c>
      <c r="R291" s="16">
        <v>10.0</v>
      </c>
      <c r="S291" s="4"/>
      <c r="T291" s="4"/>
      <c r="U291" s="4"/>
      <c r="V291" s="4"/>
      <c r="W291" s="4"/>
      <c r="X291" s="4"/>
      <c r="Y291" s="4"/>
    </row>
    <row r="292">
      <c r="A292" s="16" t="s">
        <v>1813</v>
      </c>
      <c r="B292" s="16">
        <v>1101179.0</v>
      </c>
      <c r="C292" s="8" t="s">
        <v>20</v>
      </c>
      <c r="D292" s="8" t="s">
        <v>1814</v>
      </c>
      <c r="E292" s="16" t="s">
        <v>1815</v>
      </c>
      <c r="F292" s="4"/>
      <c r="G292" s="4"/>
      <c r="H292" s="16">
        <v>1101179.0</v>
      </c>
      <c r="I292" s="16">
        <v>916706.0</v>
      </c>
      <c r="J292" s="16" t="s">
        <v>1816</v>
      </c>
      <c r="K292" s="16" t="s">
        <v>1817</v>
      </c>
      <c r="L292" s="16" t="s">
        <v>1816</v>
      </c>
      <c r="M292" s="16">
        <v>2000.0</v>
      </c>
      <c r="N292" s="18">
        <v>36602.0</v>
      </c>
      <c r="O292" s="18">
        <v>36602.0</v>
      </c>
      <c r="P292" s="16">
        <v>7375.0</v>
      </c>
      <c r="Q292" s="16">
        <v>7370.0</v>
      </c>
      <c r="R292" s="16">
        <v>33.88</v>
      </c>
      <c r="S292" s="4"/>
      <c r="T292" s="4"/>
      <c r="U292" s="4"/>
      <c r="V292" s="4"/>
      <c r="W292" s="4"/>
      <c r="X292" s="4"/>
      <c r="Y292" s="4"/>
    </row>
    <row r="293">
      <c r="A293" s="16" t="s">
        <v>1818</v>
      </c>
      <c r="B293" s="16">
        <v>1002521.0</v>
      </c>
      <c r="C293" s="8" t="s">
        <v>762</v>
      </c>
      <c r="D293" s="8" t="s">
        <v>1819</v>
      </c>
      <c r="E293" s="16" t="s">
        <v>1820</v>
      </c>
      <c r="F293" s="16">
        <v>1002521.0</v>
      </c>
      <c r="G293" s="4"/>
      <c r="H293" s="17">
        <v>1.00252100010335E16</v>
      </c>
      <c r="I293" s="16">
        <v>577777.0</v>
      </c>
      <c r="J293" s="16" t="s">
        <v>1821</v>
      </c>
      <c r="K293" s="16" t="s">
        <v>1821</v>
      </c>
      <c r="L293" s="16" t="s">
        <v>1821</v>
      </c>
      <c r="M293" s="16">
        <v>1996.0</v>
      </c>
      <c r="N293" s="18">
        <v>35153.0</v>
      </c>
      <c r="O293" s="18">
        <v>35153.0</v>
      </c>
      <c r="P293" s="16">
        <v>7331.0</v>
      </c>
      <c r="Q293" s="16">
        <v>7370.0</v>
      </c>
      <c r="R293" s="16">
        <v>11.0</v>
      </c>
      <c r="S293" s="4"/>
      <c r="T293" s="4"/>
      <c r="U293" s="4"/>
      <c r="V293" s="4"/>
      <c r="W293" s="4"/>
      <c r="X293" s="4"/>
      <c r="Y293" s="4"/>
    </row>
    <row r="294">
      <c r="A294" s="16" t="s">
        <v>1822</v>
      </c>
      <c r="B294" s="16">
        <v>1612630.0</v>
      </c>
      <c r="C294" s="8" t="s">
        <v>20</v>
      </c>
      <c r="D294" s="8" t="s">
        <v>1823</v>
      </c>
      <c r="E294" s="16" t="s">
        <v>1824</v>
      </c>
      <c r="F294" s="16">
        <v>1612630.0</v>
      </c>
      <c r="G294" s="16">
        <v>1612630.0</v>
      </c>
      <c r="H294" s="16">
        <v>1612630.0</v>
      </c>
      <c r="I294" s="16" t="s">
        <v>1825</v>
      </c>
      <c r="J294" s="16" t="s">
        <v>1826</v>
      </c>
      <c r="K294" s="16" t="s">
        <v>1826</v>
      </c>
      <c r="L294" s="16" t="s">
        <v>1826</v>
      </c>
      <c r="M294" s="16">
        <v>2014.0</v>
      </c>
      <c r="N294" s="18">
        <v>41954.0</v>
      </c>
      <c r="O294" s="18">
        <v>41954.0</v>
      </c>
      <c r="P294" s="16">
        <v>6794.0</v>
      </c>
      <c r="Q294" s="16">
        <v>6794.0</v>
      </c>
      <c r="R294" s="16">
        <v>6.5</v>
      </c>
      <c r="S294" s="4"/>
      <c r="T294" s="4"/>
      <c r="U294" s="4"/>
      <c r="V294" s="4"/>
      <c r="W294" s="4"/>
      <c r="X294" s="4"/>
      <c r="Y294" s="4"/>
    </row>
    <row r="295">
      <c r="A295" s="16" t="s">
        <v>1827</v>
      </c>
      <c r="B295" s="16">
        <v>1211759.0</v>
      </c>
      <c r="C295" s="8" t="s">
        <v>762</v>
      </c>
      <c r="D295" s="8" t="s">
        <v>1828</v>
      </c>
      <c r="E295" s="16" t="s">
        <v>1829</v>
      </c>
      <c r="F295" s="16">
        <v>1211759.0</v>
      </c>
      <c r="G295" s="4"/>
      <c r="H295" s="16">
        <v>1211759.0</v>
      </c>
      <c r="I295" s="16" t="s">
        <v>1830</v>
      </c>
      <c r="J295" s="16" t="s">
        <v>1831</v>
      </c>
      <c r="K295" s="16" t="s">
        <v>1831</v>
      </c>
      <c r="L295" s="16" t="s">
        <v>1831</v>
      </c>
      <c r="M295" s="16">
        <v>2014.0</v>
      </c>
      <c r="N295" s="18">
        <v>41985.0</v>
      </c>
      <c r="O295" s="18">
        <v>41985.0</v>
      </c>
      <c r="P295" s="16">
        <v>7372.0</v>
      </c>
      <c r="Q295" s="16">
        <v>7370.0</v>
      </c>
      <c r="R295" s="16">
        <v>8.0</v>
      </c>
      <c r="S295" s="4"/>
      <c r="T295" s="4"/>
      <c r="U295" s="4"/>
      <c r="V295" s="4"/>
      <c r="W295" s="4"/>
      <c r="X295" s="4"/>
      <c r="Y295" s="4"/>
    </row>
    <row r="296">
      <c r="A296" s="16" t="s">
        <v>1832</v>
      </c>
      <c r="B296" s="16">
        <v>1039757.0</v>
      </c>
      <c r="C296" s="8" t="s">
        <v>20</v>
      </c>
      <c r="D296" s="8" t="s">
        <v>1833</v>
      </c>
      <c r="E296" s="4"/>
      <c r="F296" s="4"/>
      <c r="G296" s="4"/>
      <c r="H296" s="16">
        <v>1039757.0</v>
      </c>
      <c r="I296" s="16">
        <v>771062.0</v>
      </c>
      <c r="J296" s="16" t="s">
        <v>1834</v>
      </c>
      <c r="K296" s="4"/>
      <c r="L296" s="16" t="s">
        <v>1834</v>
      </c>
      <c r="M296" s="16">
        <v>1997.0</v>
      </c>
      <c r="N296" s="4"/>
      <c r="O296" s="4"/>
      <c r="P296" s="16">
        <v>7373.0</v>
      </c>
      <c r="Q296" s="4"/>
      <c r="R296" s="16">
        <v>6.5</v>
      </c>
      <c r="S296" s="4"/>
      <c r="T296" s="4"/>
      <c r="U296" s="4"/>
      <c r="V296" s="4"/>
      <c r="W296" s="4"/>
      <c r="X296" s="4"/>
      <c r="Y296" s="4"/>
    </row>
    <row r="297">
      <c r="A297" s="16" t="s">
        <v>1835</v>
      </c>
      <c r="B297" s="16">
        <v>1023905.0</v>
      </c>
      <c r="C297" s="8" t="s">
        <v>762</v>
      </c>
      <c r="D297" s="8" t="s">
        <v>1836</v>
      </c>
      <c r="E297" s="16" t="s">
        <v>1837</v>
      </c>
      <c r="F297" s="4"/>
      <c r="G297" s="4"/>
      <c r="H297" s="16">
        <v>1023905.0</v>
      </c>
      <c r="I297" s="16">
        <v>373656.0</v>
      </c>
      <c r="J297" s="16" t="s">
        <v>1838</v>
      </c>
      <c r="K297" s="16" t="s">
        <v>1838</v>
      </c>
      <c r="L297" s="16" t="s">
        <v>1838</v>
      </c>
      <c r="M297" s="16">
        <v>1996.0</v>
      </c>
      <c r="N297" s="18">
        <v>35389.0</v>
      </c>
      <c r="O297" s="18">
        <v>35389.0</v>
      </c>
      <c r="P297" s="16">
        <v>7372.0</v>
      </c>
      <c r="Q297" s="16">
        <v>7372.0</v>
      </c>
      <c r="R297" s="16">
        <v>12.0</v>
      </c>
      <c r="S297" s="4"/>
      <c r="T297" s="4"/>
      <c r="U297" s="4"/>
      <c r="V297" s="4"/>
      <c r="W297" s="4"/>
      <c r="X297" s="4"/>
      <c r="Y297" s="4"/>
    </row>
    <row r="298">
      <c r="A298" s="16" t="s">
        <v>1839</v>
      </c>
      <c r="B298" s="16">
        <v>1853816.0</v>
      </c>
      <c r="C298" s="8" t="s">
        <v>20</v>
      </c>
      <c r="D298" s="8" t="s">
        <v>1840</v>
      </c>
      <c r="E298" s="4"/>
      <c r="F298" s="4"/>
      <c r="G298" s="16">
        <v>1853816.0</v>
      </c>
      <c r="H298" s="16">
        <v>1853816.0</v>
      </c>
      <c r="I298" s="16">
        <v>249845.0</v>
      </c>
      <c r="J298" s="16" t="s">
        <v>1841</v>
      </c>
      <c r="K298" s="4"/>
      <c r="L298" s="16" t="s">
        <v>1841</v>
      </c>
      <c r="M298" s="16">
        <v>2021.0</v>
      </c>
      <c r="N298" s="4"/>
      <c r="O298" s="4"/>
      <c r="P298" s="16">
        <v>8731.0</v>
      </c>
      <c r="Q298" s="4"/>
      <c r="R298" s="16">
        <v>7.0</v>
      </c>
      <c r="S298" s="4"/>
      <c r="T298" s="4"/>
      <c r="U298" s="4"/>
      <c r="V298" s="4"/>
      <c r="W298" s="4"/>
      <c r="X298" s="4"/>
      <c r="Y298" s="4"/>
    </row>
    <row r="299">
      <c r="A299" s="16" t="s">
        <v>1842</v>
      </c>
      <c r="B299" s="16">
        <v>1042431.0</v>
      </c>
      <c r="C299" s="8" t="s">
        <v>762</v>
      </c>
      <c r="D299" s="8" t="s">
        <v>1843</v>
      </c>
      <c r="E299" s="16" t="s">
        <v>1844</v>
      </c>
      <c r="F299" s="16">
        <v>1042431.0</v>
      </c>
      <c r="G299" s="4"/>
      <c r="H299" s="16">
        <v>1042431.0</v>
      </c>
      <c r="I299" s="16" t="s">
        <v>1845</v>
      </c>
      <c r="J299" s="16" t="s">
        <v>1846</v>
      </c>
      <c r="K299" s="16" t="s">
        <v>1846</v>
      </c>
      <c r="L299" s="16" t="s">
        <v>1846</v>
      </c>
      <c r="M299" s="16">
        <v>1999.0</v>
      </c>
      <c r="N299" s="18">
        <v>36441.0</v>
      </c>
      <c r="O299" s="18">
        <v>36441.0</v>
      </c>
      <c r="P299" s="16">
        <v>7372.0</v>
      </c>
      <c r="Q299" s="16">
        <v>7372.0</v>
      </c>
      <c r="R299" s="16">
        <v>17.0</v>
      </c>
      <c r="S299" s="4"/>
      <c r="T299" s="4"/>
      <c r="U299" s="4"/>
      <c r="V299" s="4"/>
      <c r="W299" s="4"/>
      <c r="X299" s="4"/>
      <c r="Y299" s="4"/>
    </row>
    <row r="300">
      <c r="A300" s="16" t="s">
        <v>1847</v>
      </c>
      <c r="B300" s="16">
        <v>1140184.0</v>
      </c>
      <c r="C300" s="8" t="s">
        <v>749</v>
      </c>
      <c r="D300" s="8" t="s">
        <v>1848</v>
      </c>
      <c r="E300" s="4"/>
      <c r="F300" s="4"/>
      <c r="G300" s="4"/>
      <c r="H300" s="17">
        <v>1.14018400011401E16</v>
      </c>
      <c r="I300" s="16" t="s">
        <v>1849</v>
      </c>
      <c r="J300" s="16" t="s">
        <v>1850</v>
      </c>
      <c r="K300" s="4"/>
      <c r="L300" s="16" t="s">
        <v>1850</v>
      </c>
      <c r="M300" s="16">
        <v>2003.0</v>
      </c>
      <c r="N300" s="4"/>
      <c r="O300" s="4"/>
      <c r="P300" s="16">
        <v>6099.0</v>
      </c>
      <c r="Q300" s="4"/>
      <c r="R300" s="16">
        <v>16.0</v>
      </c>
      <c r="S300" s="4"/>
      <c r="T300" s="4"/>
      <c r="U300" s="4"/>
      <c r="V300" s="4"/>
      <c r="W300" s="4"/>
      <c r="X300" s="4"/>
      <c r="Y300" s="4"/>
    </row>
    <row r="301">
      <c r="A301" s="16" t="s">
        <v>1851</v>
      </c>
      <c r="B301" s="16">
        <v>1050992.0</v>
      </c>
      <c r="C301" s="8" t="s">
        <v>749</v>
      </c>
      <c r="D301" s="8" t="s">
        <v>1852</v>
      </c>
      <c r="E301" s="16" t="s">
        <v>1853</v>
      </c>
      <c r="F301" s="16">
        <v>1050992.0</v>
      </c>
      <c r="G301" s="4"/>
      <c r="H301" s="16">
        <v>1050992.0</v>
      </c>
      <c r="I301" s="16">
        <v>228840.0</v>
      </c>
      <c r="J301" s="16" t="s">
        <v>1854</v>
      </c>
      <c r="K301" s="16" t="s">
        <v>1855</v>
      </c>
      <c r="L301" s="16" t="s">
        <v>1854</v>
      </c>
      <c r="M301" s="16">
        <v>1998.0</v>
      </c>
      <c r="N301" s="18">
        <v>35836.0</v>
      </c>
      <c r="O301" s="18">
        <v>35836.0</v>
      </c>
      <c r="P301" s="16">
        <v>6035.0</v>
      </c>
      <c r="Q301" s="16">
        <v>6035.0</v>
      </c>
      <c r="R301" s="16">
        <v>15.0</v>
      </c>
      <c r="S301" s="4"/>
      <c r="T301" s="4"/>
      <c r="U301" s="4"/>
      <c r="V301" s="4"/>
      <c r="W301" s="4"/>
      <c r="X301" s="4"/>
      <c r="Y301" s="4"/>
    </row>
    <row r="302">
      <c r="A302" s="16" t="s">
        <v>1856</v>
      </c>
      <c r="B302" s="16">
        <v>1012459.0</v>
      </c>
      <c r="C302" s="8" t="s">
        <v>20</v>
      </c>
      <c r="D302" s="8" t="s">
        <v>1857</v>
      </c>
      <c r="E302" s="16" t="s">
        <v>1858</v>
      </c>
      <c r="F302" s="16">
        <v>1012459.0</v>
      </c>
      <c r="G302" s="4"/>
      <c r="H302" s="16">
        <v>1012459.0</v>
      </c>
      <c r="I302" s="16" t="s">
        <v>1859</v>
      </c>
      <c r="J302" s="16" t="s">
        <v>1860</v>
      </c>
      <c r="K302" s="16" t="s">
        <v>1861</v>
      </c>
      <c r="L302" s="16" t="s">
        <v>1860</v>
      </c>
      <c r="M302" s="16">
        <v>1996.0</v>
      </c>
      <c r="N302" s="18">
        <v>35236.0</v>
      </c>
      <c r="O302" s="18">
        <v>35236.0</v>
      </c>
      <c r="P302" s="16">
        <v>7371.0</v>
      </c>
      <c r="Q302" s="16">
        <v>7372.0</v>
      </c>
      <c r="R302" s="16">
        <v>17.0</v>
      </c>
      <c r="S302" s="4"/>
      <c r="T302" s="4"/>
      <c r="U302" s="4"/>
      <c r="V302" s="4"/>
      <c r="W302" s="4"/>
      <c r="X302" s="4"/>
      <c r="Y302" s="4"/>
    </row>
    <row r="303">
      <c r="A303" s="10" t="s">
        <v>1862</v>
      </c>
      <c r="B303" s="11">
        <v>1025148.0</v>
      </c>
      <c r="C303" s="8" t="s">
        <v>20</v>
      </c>
      <c r="D303" s="9" t="s">
        <v>1863</v>
      </c>
      <c r="E303" s="10" t="s">
        <v>1864</v>
      </c>
      <c r="F303" s="11">
        <v>1025148.0</v>
      </c>
      <c r="G303" s="10"/>
      <c r="H303" s="10" t="s">
        <v>1865</v>
      </c>
      <c r="I303" s="10" t="s">
        <v>1866</v>
      </c>
      <c r="J303" s="10" t="s">
        <v>1867</v>
      </c>
      <c r="K303" s="10" t="s">
        <v>1868</v>
      </c>
      <c r="L303" s="10" t="s">
        <v>1867</v>
      </c>
      <c r="M303" s="11">
        <v>1998.0</v>
      </c>
      <c r="N303" s="10" t="s">
        <v>1869</v>
      </c>
      <c r="O303" s="10" t="s">
        <v>1869</v>
      </c>
      <c r="P303" s="11">
        <v>7372.0</v>
      </c>
      <c r="Q303" s="11">
        <v>7372.0</v>
      </c>
      <c r="R303" s="11">
        <v>14.5</v>
      </c>
      <c r="S303" s="10"/>
      <c r="T303" s="10"/>
      <c r="U303" s="10"/>
      <c r="V303" s="10"/>
      <c r="W303" s="10"/>
      <c r="X303" s="10"/>
      <c r="Y303" s="10"/>
    </row>
    <row r="304">
      <c r="A304" s="10" t="s">
        <v>1870</v>
      </c>
      <c r="B304" s="11">
        <v>1761312.0</v>
      </c>
      <c r="C304" s="8" t="s">
        <v>20</v>
      </c>
      <c r="D304" s="9" t="s">
        <v>1871</v>
      </c>
      <c r="E304" s="10" t="s">
        <v>1872</v>
      </c>
      <c r="F304" s="11">
        <v>1761312.0</v>
      </c>
      <c r="G304" s="11">
        <v>1761312.0</v>
      </c>
      <c r="H304" s="10" t="s">
        <v>1873</v>
      </c>
      <c r="I304" s="10" t="s">
        <v>1874</v>
      </c>
      <c r="J304" s="10" t="s">
        <v>1875</v>
      </c>
      <c r="K304" s="10" t="s">
        <v>1875</v>
      </c>
      <c r="L304" s="10"/>
      <c r="M304" s="11">
        <v>2019.0</v>
      </c>
      <c r="N304" s="10" t="s">
        <v>1876</v>
      </c>
      <c r="O304" s="10" t="s">
        <v>1876</v>
      </c>
      <c r="P304" s="11">
        <v>6331.0</v>
      </c>
      <c r="Q304" s="11">
        <v>6331.0</v>
      </c>
      <c r="R304" s="11">
        <v>15.0</v>
      </c>
      <c r="S304" s="10"/>
      <c r="T304" s="10"/>
      <c r="U304" s="10"/>
      <c r="V304" s="10"/>
      <c r="W304" s="10"/>
      <c r="X304" s="10"/>
      <c r="Y304" s="10"/>
    </row>
    <row r="305">
      <c r="A305" s="10" t="s">
        <v>1877</v>
      </c>
      <c r="B305" s="11">
        <v>1785345.0</v>
      </c>
      <c r="C305" s="8" t="s">
        <v>20</v>
      </c>
      <c r="D305" s="9" t="s">
        <v>1878</v>
      </c>
      <c r="E305" s="10" t="s">
        <v>1879</v>
      </c>
      <c r="F305" s="11">
        <v>1785345.0</v>
      </c>
      <c r="G305" s="10"/>
      <c r="H305" s="10" t="s">
        <v>1880</v>
      </c>
      <c r="I305" s="10" t="s">
        <v>1881</v>
      </c>
      <c r="J305" s="10" t="s">
        <v>1882</v>
      </c>
      <c r="K305" s="10" t="s">
        <v>1882</v>
      </c>
      <c r="L305" s="10" t="s">
        <v>1882</v>
      </c>
      <c r="M305" s="11">
        <v>2021.0</v>
      </c>
      <c r="N305" s="10" t="s">
        <v>1883</v>
      </c>
      <c r="O305" s="10" t="s">
        <v>1883</v>
      </c>
      <c r="P305" s="11">
        <v>8731.0</v>
      </c>
      <c r="Q305" s="11">
        <v>2834.0</v>
      </c>
      <c r="R305" s="11">
        <v>16.0</v>
      </c>
      <c r="S305" s="10"/>
      <c r="T305" s="10"/>
      <c r="U305" s="10"/>
      <c r="V305" s="10"/>
      <c r="W305" s="10"/>
      <c r="X305" s="10"/>
      <c r="Y305" s="10"/>
    </row>
    <row r="306">
      <c r="A306" s="10" t="s">
        <v>1884</v>
      </c>
      <c r="B306" s="11">
        <v>1528396.0</v>
      </c>
      <c r="C306" s="8" t="s">
        <v>762</v>
      </c>
      <c r="D306" s="9" t="s">
        <v>1885</v>
      </c>
      <c r="E306" s="10" t="s">
        <v>1886</v>
      </c>
      <c r="F306" s="11">
        <v>1528396.0</v>
      </c>
      <c r="G306" s="10"/>
      <c r="H306" s="10" t="s">
        <v>1887</v>
      </c>
      <c r="I306" s="10" t="s">
        <v>1888</v>
      </c>
      <c r="J306" s="10"/>
      <c r="K306" s="10" t="s">
        <v>1889</v>
      </c>
      <c r="L306" s="10"/>
      <c r="M306" s="11">
        <v>2012.0</v>
      </c>
      <c r="N306" s="10" t="s">
        <v>1890</v>
      </c>
      <c r="O306" s="10" t="s">
        <v>1890</v>
      </c>
      <c r="P306" s="11">
        <v>7372.0</v>
      </c>
      <c r="Q306" s="11">
        <v>7372.0</v>
      </c>
      <c r="R306" s="11">
        <v>13.0</v>
      </c>
      <c r="S306" s="10"/>
      <c r="T306" s="10"/>
      <c r="U306" s="10"/>
      <c r="V306" s="10"/>
      <c r="W306" s="10"/>
      <c r="X306" s="10"/>
      <c r="Y306" s="10"/>
    </row>
    <row r="307">
      <c r="A307" s="10" t="s">
        <v>1891</v>
      </c>
      <c r="B307" s="11">
        <v>1062606.0</v>
      </c>
      <c r="C307" s="8" t="s">
        <v>20</v>
      </c>
      <c r="D307" s="9" t="s">
        <v>1892</v>
      </c>
      <c r="E307" s="10"/>
      <c r="F307" s="10"/>
      <c r="G307" s="10"/>
      <c r="H307" s="10" t="s">
        <v>1893</v>
      </c>
      <c r="I307" s="10" t="s">
        <v>1894</v>
      </c>
      <c r="J307" s="10" t="s">
        <v>1895</v>
      </c>
      <c r="K307" s="10"/>
      <c r="L307" s="10" t="s">
        <v>1895</v>
      </c>
      <c r="M307" s="11">
        <v>2000.0</v>
      </c>
      <c r="N307" s="10"/>
      <c r="O307" s="10"/>
      <c r="P307" s="11">
        <v>7372.0</v>
      </c>
      <c r="Q307" s="10"/>
      <c r="R307" s="11">
        <v>7.0</v>
      </c>
      <c r="S307" s="10"/>
      <c r="T307" s="10"/>
      <c r="U307" s="10"/>
      <c r="V307" s="10"/>
      <c r="W307" s="10"/>
      <c r="X307" s="10"/>
      <c r="Y307" s="10"/>
    </row>
    <row r="308">
      <c r="A308" s="10" t="s">
        <v>1896</v>
      </c>
      <c r="B308" s="11">
        <v>1039139.0</v>
      </c>
      <c r="C308" s="8" t="s">
        <v>20</v>
      </c>
      <c r="D308" s="9" t="s">
        <v>1897</v>
      </c>
      <c r="E308" s="10" t="s">
        <v>1898</v>
      </c>
      <c r="F308" s="11">
        <v>1039139.0</v>
      </c>
      <c r="G308" s="10"/>
      <c r="H308" s="10" t="s">
        <v>1899</v>
      </c>
      <c r="I308" s="10" t="s">
        <v>1900</v>
      </c>
      <c r="J308" s="10" t="s">
        <v>1901</v>
      </c>
      <c r="K308" s="10" t="s">
        <v>1901</v>
      </c>
      <c r="L308" s="10" t="s">
        <v>1901</v>
      </c>
      <c r="M308" s="11">
        <v>1997.0</v>
      </c>
      <c r="N308" s="10" t="s">
        <v>1902</v>
      </c>
      <c r="O308" s="10" t="s">
        <v>1902</v>
      </c>
      <c r="P308" s="11">
        <v>8741.0</v>
      </c>
      <c r="Q308" s="11">
        <v>8741.0</v>
      </c>
      <c r="R308" s="11">
        <v>12.0</v>
      </c>
      <c r="S308" s="10"/>
      <c r="T308" s="10"/>
      <c r="U308" s="10"/>
      <c r="V308" s="10"/>
      <c r="W308" s="10"/>
      <c r="X308" s="10"/>
      <c r="Y308" s="10"/>
    </row>
    <row r="309">
      <c r="A309" s="10" t="s">
        <v>1903</v>
      </c>
      <c r="B309" s="11">
        <v>1088820.0</v>
      </c>
      <c r="C309" s="8" t="s">
        <v>20</v>
      </c>
      <c r="D309" s="9" t="s">
        <v>1904</v>
      </c>
      <c r="E309" s="10" t="s">
        <v>1905</v>
      </c>
      <c r="F309" s="11">
        <v>1088820.0</v>
      </c>
      <c r="G309" s="10"/>
      <c r="H309" s="10" t="s">
        <v>1906</v>
      </c>
      <c r="I309" s="10" t="s">
        <v>1907</v>
      </c>
      <c r="J309" s="10" t="s">
        <v>1908</v>
      </c>
      <c r="K309" s="10" t="s">
        <v>1908</v>
      </c>
      <c r="L309" s="10" t="s">
        <v>1908</v>
      </c>
      <c r="M309" s="11">
        <v>1999.0</v>
      </c>
      <c r="N309" s="10" t="s">
        <v>1909</v>
      </c>
      <c r="O309" s="10" t="s">
        <v>1909</v>
      </c>
      <c r="P309" s="11">
        <v>7374.0</v>
      </c>
      <c r="Q309" s="11">
        <v>7372.0</v>
      </c>
      <c r="R309" s="11">
        <v>14.0</v>
      </c>
      <c r="S309" s="10"/>
      <c r="T309" s="10"/>
      <c r="U309" s="10"/>
      <c r="V309" s="10"/>
      <c r="W309" s="10"/>
      <c r="X309" s="10"/>
      <c r="Y309" s="10"/>
    </row>
    <row r="310">
      <c r="A310" s="10" t="s">
        <v>1910</v>
      </c>
      <c r="B310" s="11">
        <v>1089044.0</v>
      </c>
      <c r="C310" s="8" t="s">
        <v>20</v>
      </c>
      <c r="D310" s="9" t="s">
        <v>1911</v>
      </c>
      <c r="E310" s="10" t="s">
        <v>1912</v>
      </c>
      <c r="F310" s="11">
        <v>1089044.0</v>
      </c>
      <c r="G310" s="11">
        <v>1162194.0</v>
      </c>
      <c r="H310" s="10" t="s">
        <v>1913</v>
      </c>
      <c r="I310" s="10" t="s">
        <v>1914</v>
      </c>
      <c r="J310" s="10" t="s">
        <v>1915</v>
      </c>
      <c r="K310" s="10" t="s">
        <v>1916</v>
      </c>
      <c r="L310" s="10" t="s">
        <v>1915</v>
      </c>
      <c r="M310" s="11">
        <v>1999.0</v>
      </c>
      <c r="N310" s="10" t="s">
        <v>1917</v>
      </c>
      <c r="O310" s="10" t="s">
        <v>1917</v>
      </c>
      <c r="P310" s="11">
        <v>6211.0</v>
      </c>
      <c r="Q310" s="11">
        <v>6211.0</v>
      </c>
      <c r="R310" s="11">
        <v>14.0</v>
      </c>
      <c r="S310" s="10"/>
      <c r="T310" s="10"/>
      <c r="U310" s="10"/>
      <c r="V310" s="10"/>
      <c r="W310" s="10"/>
      <c r="X310" s="10"/>
      <c r="Y310" s="10"/>
    </row>
    <row r="311">
      <c r="A311" s="10" t="s">
        <v>1918</v>
      </c>
      <c r="B311" s="11">
        <v>937948.0</v>
      </c>
      <c r="C311" s="8" t="s">
        <v>20</v>
      </c>
      <c r="D311" s="9" t="s">
        <v>1919</v>
      </c>
      <c r="E311" s="10" t="s">
        <v>1920</v>
      </c>
      <c r="F311" s="11">
        <v>937948.0</v>
      </c>
      <c r="G311" s="10"/>
      <c r="H311" s="10" t="s">
        <v>1921</v>
      </c>
      <c r="I311" s="10" t="s">
        <v>1922</v>
      </c>
      <c r="J311" s="10" t="s">
        <v>1923</v>
      </c>
      <c r="K311" s="10" t="s">
        <v>1924</v>
      </c>
      <c r="L311" s="10" t="s">
        <v>1923</v>
      </c>
      <c r="M311" s="11">
        <v>1995.0</v>
      </c>
      <c r="N311" s="10" t="s">
        <v>1925</v>
      </c>
      <c r="O311" s="10" t="s">
        <v>1925</v>
      </c>
      <c r="P311" s="11">
        <v>7379.0</v>
      </c>
      <c r="Q311" s="11">
        <v>8742.0</v>
      </c>
      <c r="R311" s="11">
        <v>13.0</v>
      </c>
      <c r="S311" s="10"/>
      <c r="T311" s="10"/>
      <c r="U311" s="10"/>
      <c r="V311" s="10"/>
      <c r="W311" s="10"/>
      <c r="X311" s="10"/>
      <c r="Y311" s="10"/>
    </row>
    <row r="312">
      <c r="A312" s="10" t="s">
        <v>1926</v>
      </c>
      <c r="B312" s="11">
        <v>1157648.0</v>
      </c>
      <c r="C312" s="8" t="s">
        <v>762</v>
      </c>
      <c r="D312" s="9" t="s">
        <v>1927</v>
      </c>
      <c r="E312" s="10" t="s">
        <v>1928</v>
      </c>
      <c r="F312" s="11">
        <v>1157648.0</v>
      </c>
      <c r="G312" s="10"/>
      <c r="H312" s="10" t="s">
        <v>1929</v>
      </c>
      <c r="I312" s="10" t="s">
        <v>1930</v>
      </c>
      <c r="J312" s="10" t="s">
        <v>1931</v>
      </c>
      <c r="K312" s="10" t="s">
        <v>1931</v>
      </c>
      <c r="L312" s="10" t="s">
        <v>1931</v>
      </c>
      <c r="M312" s="11">
        <v>2005.0</v>
      </c>
      <c r="N312" s="10" t="s">
        <v>1932</v>
      </c>
      <c r="O312" s="10" t="s">
        <v>1932</v>
      </c>
      <c r="P312" s="11">
        <v>6021.0</v>
      </c>
      <c r="Q312" s="11">
        <v>6020.0</v>
      </c>
      <c r="R312" s="11">
        <v>16.0</v>
      </c>
      <c r="S312" s="10"/>
      <c r="T312" s="10"/>
      <c r="U312" s="10"/>
      <c r="V312" s="10"/>
      <c r="W312" s="10"/>
      <c r="X312" s="10"/>
      <c r="Y312" s="10"/>
    </row>
    <row r="313">
      <c r="A313" s="10" t="s">
        <v>1933</v>
      </c>
      <c r="B313" s="11">
        <v>1005270.0</v>
      </c>
      <c r="C313" s="8" t="s">
        <v>20</v>
      </c>
      <c r="D313" s="9" t="s">
        <v>1934</v>
      </c>
      <c r="E313" s="10" t="s">
        <v>1935</v>
      </c>
      <c r="F313" s="11">
        <v>1005270.0</v>
      </c>
      <c r="G313" s="10"/>
      <c r="H313" s="10" t="s">
        <v>1936</v>
      </c>
      <c r="I313" s="10" t="s">
        <v>1937</v>
      </c>
      <c r="J313" s="10" t="s">
        <v>1938</v>
      </c>
      <c r="K313" s="10" t="s">
        <v>1938</v>
      </c>
      <c r="L313" s="10" t="s">
        <v>1938</v>
      </c>
      <c r="M313" s="11">
        <v>1996.0</v>
      </c>
      <c r="N313" s="10" t="s">
        <v>1939</v>
      </c>
      <c r="O313" s="10" t="s">
        <v>1939</v>
      </c>
      <c r="P313" s="11">
        <v>7372.0</v>
      </c>
      <c r="Q313" s="11">
        <v>7372.0</v>
      </c>
      <c r="R313" s="11">
        <v>18.0</v>
      </c>
      <c r="S313" s="10"/>
      <c r="T313" s="10"/>
      <c r="U313" s="10"/>
      <c r="V313" s="10"/>
      <c r="W313" s="10"/>
      <c r="X313" s="10"/>
      <c r="Y313" s="10"/>
    </row>
    <row r="314">
      <c r="A314" s="10" t="s">
        <v>1940</v>
      </c>
      <c r="B314" s="11">
        <v>1008588.0</v>
      </c>
      <c r="C314" s="8" t="s">
        <v>20</v>
      </c>
      <c r="D314" s="9" t="s">
        <v>1941</v>
      </c>
      <c r="E314" s="10" t="s">
        <v>1942</v>
      </c>
      <c r="F314" s="11">
        <v>1008588.0</v>
      </c>
      <c r="G314" s="10"/>
      <c r="H314" s="10" t="s">
        <v>1943</v>
      </c>
      <c r="I314" s="10" t="s">
        <v>1944</v>
      </c>
      <c r="J314" s="10" t="s">
        <v>1945</v>
      </c>
      <c r="K314" s="10" t="s">
        <v>1945</v>
      </c>
      <c r="L314" s="10" t="s">
        <v>1945</v>
      </c>
      <c r="M314" s="11">
        <v>1996.0</v>
      </c>
      <c r="N314" s="10" t="s">
        <v>1946</v>
      </c>
      <c r="O314" s="10" t="s">
        <v>1946</v>
      </c>
      <c r="P314" s="11">
        <v>7372.0</v>
      </c>
      <c r="Q314" s="11">
        <v>7372.0</v>
      </c>
      <c r="R314" s="11">
        <v>8.0</v>
      </c>
      <c r="S314" s="10"/>
      <c r="T314" s="10"/>
      <c r="U314" s="10"/>
      <c r="V314" s="10"/>
      <c r="W314" s="10"/>
      <c r="X314" s="10"/>
      <c r="Y314" s="10"/>
    </row>
    <row r="315">
      <c r="A315" s="10" t="s">
        <v>1947</v>
      </c>
      <c r="B315" s="11">
        <v>1786108.0</v>
      </c>
      <c r="C315" s="8" t="s">
        <v>20</v>
      </c>
      <c r="D315" s="9" t="s">
        <v>1948</v>
      </c>
      <c r="E315" s="10" t="s">
        <v>1949</v>
      </c>
      <c r="F315" s="11">
        <v>1786108.0</v>
      </c>
      <c r="G315" s="11">
        <v>1786108.0</v>
      </c>
      <c r="H315" s="10" t="s">
        <v>1950</v>
      </c>
      <c r="I315" s="10" t="s">
        <v>1951</v>
      </c>
      <c r="J315" s="10" t="s">
        <v>1952</v>
      </c>
      <c r="K315" s="10" t="s">
        <v>1952</v>
      </c>
      <c r="L315" s="10" t="s">
        <v>1952</v>
      </c>
      <c r="M315" s="11">
        <v>2021.0</v>
      </c>
      <c r="N315" s="10" t="s">
        <v>855</v>
      </c>
      <c r="O315" s="10" t="s">
        <v>855</v>
      </c>
      <c r="P315" s="11">
        <v>6799.0</v>
      </c>
      <c r="Q315" s="11">
        <v>6797.0</v>
      </c>
      <c r="R315" s="11">
        <v>14.0</v>
      </c>
      <c r="S315" s="10"/>
      <c r="T315" s="10"/>
      <c r="U315" s="10"/>
      <c r="V315" s="10"/>
      <c r="W315" s="10"/>
      <c r="X315" s="10"/>
      <c r="Y315" s="10"/>
    </row>
    <row r="316">
      <c r="A316" s="10" t="s">
        <v>1953</v>
      </c>
      <c r="B316" s="11">
        <v>1713683.0</v>
      </c>
      <c r="C316" s="8" t="s">
        <v>20</v>
      </c>
      <c r="D316" s="9" t="s">
        <v>1954</v>
      </c>
      <c r="E316" s="10" t="s">
        <v>1955</v>
      </c>
      <c r="F316" s="11">
        <v>1713683.0</v>
      </c>
      <c r="G316" s="11">
        <v>1713683.0</v>
      </c>
      <c r="H316" s="10" t="s">
        <v>1956</v>
      </c>
      <c r="I316" s="10" t="s">
        <v>1957</v>
      </c>
      <c r="J316" s="10" t="s">
        <v>1958</v>
      </c>
      <c r="K316" s="10" t="s">
        <v>1958</v>
      </c>
      <c r="L316" s="10" t="s">
        <v>1958</v>
      </c>
      <c r="M316" s="11">
        <v>2018.0</v>
      </c>
      <c r="N316" s="10" t="s">
        <v>1959</v>
      </c>
      <c r="O316" s="10" t="s">
        <v>1959</v>
      </c>
      <c r="P316" s="11">
        <v>7372.0</v>
      </c>
      <c r="Q316" s="11">
        <v>7370.0</v>
      </c>
      <c r="R316" s="11">
        <v>16.0</v>
      </c>
      <c r="S316" s="10"/>
      <c r="T316" s="10"/>
      <c r="U316" s="10"/>
      <c r="V316" s="10"/>
      <c r="W316" s="10"/>
      <c r="X316" s="10"/>
      <c r="Y316" s="10"/>
    </row>
    <row r="317">
      <c r="A317" s="10" t="s">
        <v>1960</v>
      </c>
      <c r="B317" s="11">
        <v>1089717.0</v>
      </c>
      <c r="C317" s="8" t="s">
        <v>20</v>
      </c>
      <c r="D317" s="9" t="s">
        <v>1961</v>
      </c>
      <c r="E317" s="10" t="s">
        <v>1962</v>
      </c>
      <c r="F317" s="11">
        <v>1089717.0</v>
      </c>
      <c r="G317" s="10"/>
      <c r="H317" s="10" t="s">
        <v>1963</v>
      </c>
      <c r="I317" s="10" t="s">
        <v>1964</v>
      </c>
      <c r="J317" s="10" t="s">
        <v>1965</v>
      </c>
      <c r="K317" s="10" t="s">
        <v>1965</v>
      </c>
      <c r="L317" s="10" t="s">
        <v>1965</v>
      </c>
      <c r="M317" s="11">
        <v>1999.0</v>
      </c>
      <c r="N317" s="10" t="s">
        <v>1966</v>
      </c>
      <c r="O317" s="10" t="s">
        <v>1966</v>
      </c>
      <c r="P317" s="11">
        <v>7371.0</v>
      </c>
      <c r="Q317" s="11">
        <v>7372.0</v>
      </c>
      <c r="R317" s="11">
        <v>18.0</v>
      </c>
      <c r="S317" s="10"/>
      <c r="T317" s="10"/>
      <c r="U317" s="10"/>
      <c r="V317" s="10"/>
      <c r="W317" s="10"/>
      <c r="X317" s="10"/>
      <c r="Y317" s="10"/>
    </row>
    <row r="318">
      <c r="A318" s="10" t="s">
        <v>1967</v>
      </c>
      <c r="B318" s="11">
        <v>1868912.0</v>
      </c>
      <c r="C318" s="8" t="s">
        <v>749</v>
      </c>
      <c r="D318" s="9" t="s">
        <v>1968</v>
      </c>
      <c r="E318" s="10" t="s">
        <v>1969</v>
      </c>
      <c r="F318" s="11">
        <v>1868912.0</v>
      </c>
      <c r="G318" s="10"/>
      <c r="H318" s="10" t="s">
        <v>1970</v>
      </c>
      <c r="I318" s="10" t="s">
        <v>1971</v>
      </c>
      <c r="J318" s="10" t="s">
        <v>1972</v>
      </c>
      <c r="K318" s="10" t="s">
        <v>1972</v>
      </c>
      <c r="L318" s="10" t="s">
        <v>1972</v>
      </c>
      <c r="M318" s="11">
        <v>2021.0</v>
      </c>
      <c r="N318" s="10" t="s">
        <v>1973</v>
      </c>
      <c r="O318" s="10" t="s">
        <v>1973</v>
      </c>
      <c r="P318" s="11">
        <v>7372.0</v>
      </c>
      <c r="Q318" s="11">
        <v>7370.0</v>
      </c>
      <c r="R318" s="11">
        <v>17.0</v>
      </c>
      <c r="S318" s="10"/>
      <c r="T318" s="10"/>
      <c r="U318" s="10"/>
      <c r="V318" s="10"/>
      <c r="W318" s="10"/>
      <c r="X318" s="10"/>
      <c r="Y318" s="10"/>
    </row>
    <row r="319">
      <c r="A319" s="10" t="s">
        <v>1974</v>
      </c>
      <c r="B319" s="11">
        <v>1640428.0</v>
      </c>
      <c r="C319" s="8" t="s">
        <v>749</v>
      </c>
      <c r="D319" s="9" t="s">
        <v>1975</v>
      </c>
      <c r="E319" s="10" t="s">
        <v>1976</v>
      </c>
      <c r="F319" s="11">
        <v>1640428.0</v>
      </c>
      <c r="G319" s="11">
        <v>1640428.0</v>
      </c>
      <c r="H319" s="10" t="s">
        <v>1977</v>
      </c>
      <c r="I319" s="10" t="s">
        <v>1978</v>
      </c>
      <c r="J319" s="10" t="s">
        <v>1979</v>
      </c>
      <c r="K319" s="10" t="s">
        <v>1979</v>
      </c>
      <c r="L319" s="10" t="s">
        <v>1979</v>
      </c>
      <c r="M319" s="11">
        <v>2018.0</v>
      </c>
      <c r="N319" s="10" t="s">
        <v>105</v>
      </c>
      <c r="O319" s="10" t="s">
        <v>105</v>
      </c>
      <c r="P319" s="11">
        <v>7374.0</v>
      </c>
      <c r="Q319" s="11">
        <v>7370.0</v>
      </c>
      <c r="R319" s="11">
        <v>18.0</v>
      </c>
      <c r="S319" s="10"/>
      <c r="T319" s="10"/>
      <c r="U319" s="10"/>
      <c r="V319" s="10"/>
      <c r="W319" s="10"/>
      <c r="X319" s="10"/>
      <c r="Y319" s="10"/>
    </row>
    <row r="320">
      <c r="A320" s="10" t="s">
        <v>1980</v>
      </c>
      <c r="B320" s="11">
        <v>932781.0</v>
      </c>
      <c r="C320" s="8" t="s">
        <v>20</v>
      </c>
      <c r="D320" s="9" t="s">
        <v>1981</v>
      </c>
      <c r="E320" s="10" t="s">
        <v>1982</v>
      </c>
      <c r="F320" s="11">
        <v>932781.0</v>
      </c>
      <c r="G320" s="11">
        <v>932781.0</v>
      </c>
      <c r="H320" s="10" t="s">
        <v>1983</v>
      </c>
      <c r="I320" s="10" t="s">
        <v>1984</v>
      </c>
      <c r="J320" s="10" t="s">
        <v>1985</v>
      </c>
      <c r="K320" s="10" t="s">
        <v>1985</v>
      </c>
      <c r="L320" s="10" t="s">
        <v>1985</v>
      </c>
      <c r="M320" s="11">
        <v>1998.0</v>
      </c>
      <c r="N320" s="10" t="s">
        <v>1986</v>
      </c>
      <c r="O320" s="10" t="s">
        <v>1986</v>
      </c>
      <c r="P320" s="11">
        <v>6022.0</v>
      </c>
      <c r="Q320" s="11">
        <v>6020.0</v>
      </c>
      <c r="R320" s="11">
        <v>14.0</v>
      </c>
      <c r="S320" s="10"/>
      <c r="T320" s="10"/>
      <c r="U320" s="10"/>
      <c r="V320" s="10"/>
      <c r="W320" s="10"/>
      <c r="X320" s="10"/>
      <c r="Y320" s="10"/>
    </row>
    <row r="321">
      <c r="A321" s="10" t="s">
        <v>1987</v>
      </c>
      <c r="B321" s="11">
        <v>1745020.0</v>
      </c>
      <c r="C321" s="8" t="s">
        <v>20</v>
      </c>
      <c r="D321" s="9" t="s">
        <v>1988</v>
      </c>
      <c r="E321" s="10" t="s">
        <v>1989</v>
      </c>
      <c r="F321" s="11">
        <v>1745020.0</v>
      </c>
      <c r="G321" s="10"/>
      <c r="H321" s="10" t="s">
        <v>1990</v>
      </c>
      <c r="I321" s="10" t="s">
        <v>1991</v>
      </c>
      <c r="J321" s="10" t="s">
        <v>1992</v>
      </c>
      <c r="K321" s="10" t="s">
        <v>1992</v>
      </c>
      <c r="L321" s="10" t="s">
        <v>1992</v>
      </c>
      <c r="M321" s="11">
        <v>2021.0</v>
      </c>
      <c r="N321" s="10" t="s">
        <v>1993</v>
      </c>
      <c r="O321" s="10" t="s">
        <v>1993</v>
      </c>
      <c r="P321" s="11">
        <v>8731.0</v>
      </c>
      <c r="Q321" s="11">
        <v>2834.0</v>
      </c>
      <c r="R321" s="11">
        <v>16.0</v>
      </c>
      <c r="S321" s="10"/>
      <c r="T321" s="10"/>
      <c r="U321" s="10"/>
      <c r="V321" s="10"/>
      <c r="W321" s="10"/>
      <c r="X321" s="10"/>
      <c r="Y321" s="10"/>
    </row>
    <row r="322">
      <c r="A322" s="10" t="s">
        <v>1994</v>
      </c>
      <c r="B322" s="11">
        <v>1726978.0</v>
      </c>
      <c r="C322" s="8" t="s">
        <v>20</v>
      </c>
      <c r="D322" s="9" t="s">
        <v>1995</v>
      </c>
      <c r="E322" s="10" t="s">
        <v>1996</v>
      </c>
      <c r="F322" s="11">
        <v>1726978.0</v>
      </c>
      <c r="G322" s="11">
        <v>1726978.0</v>
      </c>
      <c r="H322" s="10" t="s">
        <v>1997</v>
      </c>
      <c r="I322" s="10" t="s">
        <v>1998</v>
      </c>
      <c r="J322" s="10" t="s">
        <v>1999</v>
      </c>
      <c r="K322" s="10" t="s">
        <v>1999</v>
      </c>
      <c r="L322" s="10" t="s">
        <v>1999</v>
      </c>
      <c r="M322" s="11">
        <v>2018.0</v>
      </c>
      <c r="N322" s="10" t="s">
        <v>2000</v>
      </c>
      <c r="O322" s="10" t="s">
        <v>2000</v>
      </c>
      <c r="P322" s="11">
        <v>6411.0</v>
      </c>
      <c r="Q322" s="11">
        <v>6411.0</v>
      </c>
      <c r="R322" s="11">
        <v>10.0</v>
      </c>
      <c r="S322" s="10"/>
      <c r="T322" s="10"/>
      <c r="U322" s="10"/>
      <c r="V322" s="10"/>
      <c r="W322" s="10"/>
      <c r="X322" s="10"/>
      <c r="Y322" s="10"/>
    </row>
    <row r="323">
      <c r="A323" s="10" t="s">
        <v>2001</v>
      </c>
      <c r="B323" s="11">
        <v>1495925.0</v>
      </c>
      <c r="C323" s="8" t="s">
        <v>749</v>
      </c>
      <c r="D323" s="9" t="s">
        <v>2002</v>
      </c>
      <c r="E323" s="10" t="s">
        <v>2003</v>
      </c>
      <c r="F323" s="11">
        <v>1495925.0</v>
      </c>
      <c r="G323" s="10"/>
      <c r="H323" s="10" t="s">
        <v>2004</v>
      </c>
      <c r="I323" s="10" t="s">
        <v>2005</v>
      </c>
      <c r="J323" s="10" t="s">
        <v>2006</v>
      </c>
      <c r="K323" s="10" t="s">
        <v>2007</v>
      </c>
      <c r="L323" s="10"/>
      <c r="M323" s="11">
        <v>2010.0</v>
      </c>
      <c r="N323" s="10" t="s">
        <v>2008</v>
      </c>
      <c r="O323" s="10" t="s">
        <v>2008</v>
      </c>
      <c r="P323" s="11">
        <v>6282.0</v>
      </c>
      <c r="Q323" s="11">
        <v>6411.0</v>
      </c>
      <c r="R323" s="11">
        <v>11.0</v>
      </c>
      <c r="S323" s="10"/>
      <c r="T323" s="10"/>
      <c r="U323" s="10"/>
      <c r="V323" s="10"/>
      <c r="W323" s="10"/>
      <c r="X323" s="10"/>
      <c r="Y323" s="10"/>
    </row>
    <row r="324">
      <c r="A324" s="10" t="s">
        <v>2009</v>
      </c>
      <c r="B324" s="11">
        <v>1711754.0</v>
      </c>
      <c r="C324" s="8" t="s">
        <v>20</v>
      </c>
      <c r="D324" s="9" t="s">
        <v>2010</v>
      </c>
      <c r="E324" s="10" t="s">
        <v>2011</v>
      </c>
      <c r="F324" s="11">
        <v>1711754.0</v>
      </c>
      <c r="G324" s="11">
        <v>1711754.0</v>
      </c>
      <c r="H324" s="10" t="s">
        <v>2012</v>
      </c>
      <c r="I324" s="10" t="s">
        <v>2013</v>
      </c>
      <c r="J324" s="10" t="s">
        <v>2014</v>
      </c>
      <c r="K324" s="10" t="s">
        <v>2014</v>
      </c>
      <c r="L324" s="10" t="s">
        <v>2014</v>
      </c>
      <c r="M324" s="11">
        <v>2019.0</v>
      </c>
      <c r="N324" s="10" t="s">
        <v>2015</v>
      </c>
      <c r="O324" s="10" t="s">
        <v>2015</v>
      </c>
      <c r="P324" s="11">
        <v>8731.0</v>
      </c>
      <c r="Q324" s="11">
        <v>2836.0</v>
      </c>
      <c r="R324" s="11">
        <v>8.0</v>
      </c>
      <c r="S324" s="10"/>
      <c r="T324" s="10"/>
      <c r="U324" s="10"/>
      <c r="V324" s="10"/>
      <c r="W324" s="10"/>
      <c r="X324" s="10"/>
      <c r="Y324" s="10"/>
    </row>
    <row r="325">
      <c r="A325" s="10" t="s">
        <v>2016</v>
      </c>
      <c r="B325" s="11">
        <v>1327567.0</v>
      </c>
      <c r="C325" s="8" t="s">
        <v>20</v>
      </c>
      <c r="D325" s="9" t="s">
        <v>2017</v>
      </c>
      <c r="E325" s="10" t="s">
        <v>2018</v>
      </c>
      <c r="F325" s="11">
        <v>1327567.0</v>
      </c>
      <c r="G325" s="10"/>
      <c r="H325" s="10" t="s">
        <v>2019</v>
      </c>
      <c r="I325" s="10" t="s">
        <v>2020</v>
      </c>
      <c r="J325" s="10"/>
      <c r="K325" s="10" t="s">
        <v>2021</v>
      </c>
      <c r="L325" s="10"/>
      <c r="M325" s="11">
        <v>2012.0</v>
      </c>
      <c r="N325" s="10" t="s">
        <v>654</v>
      </c>
      <c r="O325" s="10" t="s">
        <v>654</v>
      </c>
      <c r="P325" s="11">
        <v>7373.0</v>
      </c>
      <c r="Q325" s="11">
        <v>7370.0</v>
      </c>
      <c r="R325" s="11">
        <v>42.0</v>
      </c>
      <c r="S325" s="10"/>
      <c r="T325" s="10"/>
      <c r="U325" s="10"/>
      <c r="V325" s="10"/>
      <c r="W325" s="10"/>
      <c r="X325" s="10"/>
      <c r="Y325" s="10"/>
    </row>
    <row r="326">
      <c r="A326" s="10" t="s">
        <v>2022</v>
      </c>
      <c r="B326" s="11">
        <v>1065984.0</v>
      </c>
      <c r="C326" s="8" t="s">
        <v>20</v>
      </c>
      <c r="D326" s="9" t="s">
        <v>2023</v>
      </c>
      <c r="E326" s="10" t="s">
        <v>2024</v>
      </c>
      <c r="F326" s="11">
        <v>1065984.0</v>
      </c>
      <c r="G326" s="10"/>
      <c r="H326" s="10" t="s">
        <v>2025</v>
      </c>
      <c r="I326" s="10" t="s">
        <v>2026</v>
      </c>
      <c r="J326" s="10" t="s">
        <v>2027</v>
      </c>
      <c r="K326" s="10" t="s">
        <v>2027</v>
      </c>
      <c r="L326" s="10" t="s">
        <v>2027</v>
      </c>
      <c r="M326" s="11">
        <v>1999.0</v>
      </c>
      <c r="N326" s="10" t="s">
        <v>1917</v>
      </c>
      <c r="O326" s="10" t="s">
        <v>1917</v>
      </c>
      <c r="P326" s="11">
        <v>7361.0</v>
      </c>
      <c r="Q326" s="11">
        <v>7370.0</v>
      </c>
      <c r="R326" s="11">
        <v>10.0</v>
      </c>
      <c r="S326" s="10"/>
      <c r="T326" s="10"/>
      <c r="U326" s="10"/>
      <c r="V326" s="10"/>
      <c r="W326" s="10"/>
      <c r="X326" s="10"/>
      <c r="Y326" s="10"/>
    </row>
    <row r="327">
      <c r="A327" s="10" t="s">
        <v>2028</v>
      </c>
      <c r="B327" s="11">
        <v>1828673.0</v>
      </c>
      <c r="C327" s="8" t="s">
        <v>20</v>
      </c>
      <c r="D327" s="9" t="s">
        <v>2029</v>
      </c>
      <c r="E327" s="10"/>
      <c r="F327" s="10"/>
      <c r="G327" s="11">
        <v>1828673.0</v>
      </c>
      <c r="H327" s="10" t="s">
        <v>2030</v>
      </c>
      <c r="I327" s="10" t="s">
        <v>2031</v>
      </c>
      <c r="J327" s="10" t="s">
        <v>2032</v>
      </c>
      <c r="K327" s="10"/>
      <c r="L327" s="10" t="s">
        <v>2032</v>
      </c>
      <c r="M327" s="11">
        <v>2021.0</v>
      </c>
      <c r="N327" s="10"/>
      <c r="O327" s="10"/>
      <c r="P327" s="11">
        <v>8731.0</v>
      </c>
      <c r="Q327" s="10"/>
      <c r="R327" s="11">
        <v>8.0</v>
      </c>
      <c r="S327" s="10"/>
      <c r="T327" s="10"/>
      <c r="U327" s="10"/>
      <c r="V327" s="10"/>
      <c r="W327" s="10"/>
      <c r="X327" s="10"/>
      <c r="Y327" s="10"/>
    </row>
    <row r="328">
      <c r="A328" s="10" t="s">
        <v>2033</v>
      </c>
      <c r="B328" s="11">
        <v>1005730.0</v>
      </c>
      <c r="C328" s="8" t="s">
        <v>749</v>
      </c>
      <c r="D328" s="9" t="s">
        <v>2034</v>
      </c>
      <c r="E328" s="10" t="s">
        <v>2035</v>
      </c>
      <c r="F328" s="11">
        <v>1005730.0</v>
      </c>
      <c r="G328" s="10"/>
      <c r="H328" s="10" t="s">
        <v>2036</v>
      </c>
      <c r="I328" s="10" t="s">
        <v>2037</v>
      </c>
      <c r="J328" s="10" t="s">
        <v>2038</v>
      </c>
      <c r="K328" s="10" t="s">
        <v>2039</v>
      </c>
      <c r="L328" s="10" t="s">
        <v>2040</v>
      </c>
      <c r="M328" s="11">
        <v>1996.0</v>
      </c>
      <c r="N328" s="10" t="s">
        <v>2041</v>
      </c>
      <c r="O328" s="10" t="s">
        <v>2041</v>
      </c>
      <c r="P328" s="11">
        <v>6099.0</v>
      </c>
      <c r="Q328" s="11">
        <v>6099.0</v>
      </c>
      <c r="R328" s="11">
        <v>12.0</v>
      </c>
      <c r="S328" s="10"/>
      <c r="T328" s="10"/>
      <c r="U328" s="10"/>
      <c r="V328" s="10"/>
      <c r="W328" s="10"/>
      <c r="X328" s="10"/>
      <c r="Y328" s="10"/>
    </row>
    <row r="329">
      <c r="A329" s="10" t="s">
        <v>2042</v>
      </c>
      <c r="B329" s="11">
        <v>1628908.0</v>
      </c>
      <c r="C329" s="8" t="s">
        <v>20</v>
      </c>
      <c r="D329" s="9" t="s">
        <v>2043</v>
      </c>
      <c r="E329" s="10" t="s">
        <v>2044</v>
      </c>
      <c r="F329" s="11">
        <v>1628908.0</v>
      </c>
      <c r="G329" s="11">
        <v>1628908.0</v>
      </c>
      <c r="H329" s="10" t="s">
        <v>2045</v>
      </c>
      <c r="I329" s="10" t="s">
        <v>2046</v>
      </c>
      <c r="J329" s="10" t="s">
        <v>2047</v>
      </c>
      <c r="K329" s="10" t="s">
        <v>2047</v>
      </c>
      <c r="L329" s="10"/>
      <c r="M329" s="11">
        <v>2015.0</v>
      </c>
      <c r="N329" s="10" t="s">
        <v>2048</v>
      </c>
      <c r="O329" s="10" t="s">
        <v>2048</v>
      </c>
      <c r="P329" s="11">
        <v>8741.0</v>
      </c>
      <c r="Q329" s="11">
        <v>7372.0</v>
      </c>
      <c r="R329" s="11">
        <v>17.0</v>
      </c>
      <c r="S329" s="10"/>
      <c r="T329" s="10"/>
      <c r="U329" s="10"/>
      <c r="V329" s="10"/>
      <c r="W329" s="10"/>
      <c r="X329" s="10"/>
      <c r="Y329" s="10"/>
    </row>
    <row r="330">
      <c r="A330" s="10" t="s">
        <v>2049</v>
      </c>
      <c r="B330" s="11">
        <v>930885.0</v>
      </c>
      <c r="C330" s="8" t="s">
        <v>762</v>
      </c>
      <c r="D330" s="9" t="s">
        <v>2050</v>
      </c>
      <c r="E330" s="10" t="s">
        <v>2051</v>
      </c>
      <c r="F330" s="11">
        <v>930885.0</v>
      </c>
      <c r="G330" s="10"/>
      <c r="H330" s="10" t="s">
        <v>2052</v>
      </c>
      <c r="I330" s="10" t="s">
        <v>2053</v>
      </c>
      <c r="J330" s="10" t="s">
        <v>2054</v>
      </c>
      <c r="K330" s="10" t="s">
        <v>2054</v>
      </c>
      <c r="L330" s="10" t="s">
        <v>2054</v>
      </c>
      <c r="M330" s="11">
        <v>1996.0</v>
      </c>
      <c r="N330" s="10" t="s">
        <v>2055</v>
      </c>
      <c r="O330" s="10" t="s">
        <v>2055</v>
      </c>
      <c r="P330" s="11">
        <v>7372.0</v>
      </c>
      <c r="Q330" s="11">
        <v>7372.0</v>
      </c>
      <c r="R330" s="11">
        <v>24.0</v>
      </c>
      <c r="S330" s="10"/>
      <c r="T330" s="10"/>
      <c r="U330" s="10"/>
      <c r="V330" s="10"/>
      <c r="W330" s="10"/>
      <c r="X330" s="10"/>
      <c r="Y330" s="10"/>
    </row>
    <row r="331">
      <c r="A331" s="10" t="s">
        <v>2056</v>
      </c>
      <c r="B331" s="11">
        <v>867889.0</v>
      </c>
      <c r="C331" s="8" t="s">
        <v>20</v>
      </c>
      <c r="D331" s="9" t="s">
        <v>2057</v>
      </c>
      <c r="E331" s="10" t="s">
        <v>2058</v>
      </c>
      <c r="F331" s="11">
        <v>867889.0</v>
      </c>
      <c r="G331" s="10"/>
      <c r="H331" s="10" t="s">
        <v>2059</v>
      </c>
      <c r="I331" s="10" t="s">
        <v>2060</v>
      </c>
      <c r="J331" s="10" t="s">
        <v>2061</v>
      </c>
      <c r="K331" s="10" t="s">
        <v>2062</v>
      </c>
      <c r="L331" s="10" t="s">
        <v>2061</v>
      </c>
      <c r="M331" s="11">
        <v>1996.0</v>
      </c>
      <c r="N331" s="10" t="s">
        <v>2063</v>
      </c>
      <c r="O331" s="10" t="s">
        <v>2063</v>
      </c>
      <c r="P331" s="11">
        <v>7371.0</v>
      </c>
      <c r="Q331" s="11">
        <v>8721.0</v>
      </c>
      <c r="R331" s="11">
        <v>16.0</v>
      </c>
      <c r="S331" s="10"/>
      <c r="T331" s="10"/>
      <c r="U331" s="10"/>
      <c r="V331" s="10"/>
      <c r="W331" s="10"/>
      <c r="X331" s="10"/>
      <c r="Y331" s="10"/>
    </row>
    <row r="332">
      <c r="A332" s="10" t="s">
        <v>2064</v>
      </c>
      <c r="B332" s="11">
        <v>1990550.0</v>
      </c>
      <c r="C332" s="8" t="s">
        <v>20</v>
      </c>
      <c r="D332" s="9" t="s">
        <v>2065</v>
      </c>
      <c r="E332" s="10"/>
      <c r="F332" s="10"/>
      <c r="G332" s="10"/>
      <c r="H332" s="10" t="s">
        <v>2066</v>
      </c>
      <c r="I332" s="10" t="s">
        <v>2067</v>
      </c>
      <c r="J332" s="10" t="s">
        <v>2068</v>
      </c>
      <c r="K332" s="10"/>
      <c r="L332" s="10" t="s">
        <v>2068</v>
      </c>
      <c r="M332" s="11">
        <v>2021.0</v>
      </c>
      <c r="N332" s="10"/>
      <c r="O332" s="10"/>
      <c r="P332" s="11">
        <v>8731.0</v>
      </c>
      <c r="Q332" s="10"/>
      <c r="R332" s="11">
        <v>18.0</v>
      </c>
      <c r="S332" s="10"/>
      <c r="T332" s="10"/>
      <c r="U332" s="10"/>
      <c r="V332" s="10"/>
      <c r="W332" s="10"/>
      <c r="X332" s="10"/>
      <c r="Y332" s="10"/>
    </row>
    <row r="333">
      <c r="A333" s="10" t="s">
        <v>2069</v>
      </c>
      <c r="B333" s="11">
        <v>1030341.0</v>
      </c>
      <c r="C333" s="8" t="s">
        <v>20</v>
      </c>
      <c r="D333" s="9" t="s">
        <v>2070</v>
      </c>
      <c r="E333" s="10" t="s">
        <v>2071</v>
      </c>
      <c r="F333" s="11">
        <v>1030341.0</v>
      </c>
      <c r="G333" s="10"/>
      <c r="H333" s="10" t="s">
        <v>2072</v>
      </c>
      <c r="I333" s="10" t="s">
        <v>2073</v>
      </c>
      <c r="J333" s="10" t="s">
        <v>2074</v>
      </c>
      <c r="K333" s="10" t="s">
        <v>2075</v>
      </c>
      <c r="L333" s="10" t="s">
        <v>2076</v>
      </c>
      <c r="M333" s="11">
        <v>1997.0</v>
      </c>
      <c r="N333" s="10" t="s">
        <v>2077</v>
      </c>
      <c r="O333" s="10" t="s">
        <v>2077</v>
      </c>
      <c r="P333" s="11">
        <v>7375.0</v>
      </c>
      <c r="Q333" s="11">
        <v>7370.0</v>
      </c>
      <c r="R333" s="11">
        <v>18.0</v>
      </c>
      <c r="S333" s="10"/>
      <c r="T333" s="10"/>
      <c r="U333" s="10"/>
      <c r="V333" s="10"/>
      <c r="W333" s="10"/>
      <c r="X333" s="10"/>
      <c r="Y333" s="10"/>
    </row>
    <row r="334">
      <c r="A334" s="10" t="s">
        <v>2078</v>
      </c>
      <c r="B334" s="11">
        <v>1782107.0</v>
      </c>
      <c r="C334" s="8" t="s">
        <v>20</v>
      </c>
      <c r="D334" s="9" t="s">
        <v>2079</v>
      </c>
      <c r="E334" s="10"/>
      <c r="F334" s="10"/>
      <c r="G334" s="10"/>
      <c r="H334" s="10" t="s">
        <v>2080</v>
      </c>
      <c r="I334" s="10" t="s">
        <v>2081</v>
      </c>
      <c r="J334" s="10" t="s">
        <v>2082</v>
      </c>
      <c r="K334" s="10"/>
      <c r="L334" s="10" t="s">
        <v>2082</v>
      </c>
      <c r="M334" s="11">
        <v>2022.0</v>
      </c>
      <c r="N334" s="10"/>
      <c r="O334" s="10"/>
      <c r="P334" s="11">
        <v>8731.0</v>
      </c>
      <c r="Q334" s="10"/>
      <c r="R334" s="11">
        <v>9.0</v>
      </c>
      <c r="S334" s="10"/>
      <c r="T334" s="10"/>
      <c r="U334" s="10"/>
      <c r="V334" s="10"/>
      <c r="W334" s="10"/>
      <c r="X334" s="10"/>
      <c r="Y334" s="10"/>
    </row>
    <row r="335">
      <c r="A335" s="10" t="s">
        <v>2083</v>
      </c>
      <c r="B335" s="11">
        <v>778397.0</v>
      </c>
      <c r="C335" s="8" t="s">
        <v>20</v>
      </c>
      <c r="D335" s="9" t="s">
        <v>2084</v>
      </c>
      <c r="E335" s="10" t="s">
        <v>2085</v>
      </c>
      <c r="F335" s="11">
        <v>778397.0</v>
      </c>
      <c r="G335" s="10"/>
      <c r="H335" s="10" t="s">
        <v>2086</v>
      </c>
      <c r="I335" s="10" t="s">
        <v>2087</v>
      </c>
      <c r="J335" s="10" t="s">
        <v>2088</v>
      </c>
      <c r="K335" s="10" t="s">
        <v>2089</v>
      </c>
      <c r="L335" s="10" t="s">
        <v>2088</v>
      </c>
      <c r="M335" s="11">
        <v>1994.0</v>
      </c>
      <c r="N335" s="10" t="s">
        <v>2090</v>
      </c>
      <c r="O335" s="10" t="s">
        <v>2090</v>
      </c>
      <c r="P335" s="11">
        <v>7363.0</v>
      </c>
      <c r="Q335" s="11">
        <v>7363.0</v>
      </c>
      <c r="R335" s="11">
        <v>14.0</v>
      </c>
      <c r="S335" s="10"/>
      <c r="T335" s="10"/>
      <c r="U335" s="10"/>
      <c r="V335" s="10"/>
      <c r="W335" s="10"/>
      <c r="X335" s="10"/>
      <c r="Y335" s="10"/>
    </row>
    <row r="336">
      <c r="A336" s="10" t="s">
        <v>2091</v>
      </c>
      <c r="B336" s="11">
        <v>1093207.0</v>
      </c>
      <c r="C336" s="8" t="s">
        <v>20</v>
      </c>
      <c r="D336" s="9" t="s">
        <v>2092</v>
      </c>
      <c r="E336" s="10"/>
      <c r="F336" s="10"/>
      <c r="G336" s="10"/>
      <c r="H336" s="10" t="s">
        <v>2093</v>
      </c>
      <c r="I336" s="10" t="s">
        <v>2094</v>
      </c>
      <c r="J336" s="10" t="s">
        <v>2095</v>
      </c>
      <c r="K336" s="10"/>
      <c r="L336" s="10" t="s">
        <v>2095</v>
      </c>
      <c r="M336" s="11">
        <v>1999.0</v>
      </c>
      <c r="N336" s="10"/>
      <c r="O336" s="10"/>
      <c r="P336" s="11">
        <v>7372.0</v>
      </c>
      <c r="Q336" s="10"/>
      <c r="R336" s="11">
        <v>18.0</v>
      </c>
      <c r="S336" s="10"/>
      <c r="T336" s="10"/>
      <c r="U336" s="10"/>
      <c r="V336" s="10"/>
      <c r="W336" s="10"/>
      <c r="X336" s="10"/>
      <c r="Y336" s="10"/>
    </row>
    <row r="337">
      <c r="A337" s="10" t="s">
        <v>2096</v>
      </c>
      <c r="B337" s="11">
        <v>1009301.0</v>
      </c>
      <c r="C337" s="8" t="s">
        <v>20</v>
      </c>
      <c r="D337" s="9" t="s">
        <v>2097</v>
      </c>
      <c r="E337" s="10" t="s">
        <v>2098</v>
      </c>
      <c r="F337" s="11">
        <v>1009301.0</v>
      </c>
      <c r="G337" s="10"/>
      <c r="H337" s="10" t="s">
        <v>2099</v>
      </c>
      <c r="I337" s="10" t="s">
        <v>2100</v>
      </c>
      <c r="J337" s="10" t="s">
        <v>2101</v>
      </c>
      <c r="K337" s="10" t="s">
        <v>2102</v>
      </c>
      <c r="L337" s="10" t="s">
        <v>2101</v>
      </c>
      <c r="M337" s="11">
        <v>1996.0</v>
      </c>
      <c r="N337" s="10" t="s">
        <v>2103</v>
      </c>
      <c r="O337" s="10" t="s">
        <v>2103</v>
      </c>
      <c r="P337" s="11">
        <v>7372.0</v>
      </c>
      <c r="Q337" s="11">
        <v>7372.0</v>
      </c>
      <c r="R337" s="11">
        <v>18.0</v>
      </c>
      <c r="S337" s="10"/>
      <c r="T337" s="10"/>
      <c r="U337" s="10"/>
      <c r="V337" s="10"/>
      <c r="W337" s="10"/>
      <c r="X337" s="10"/>
      <c r="Y337" s="10"/>
    </row>
    <row r="338">
      <c r="A338" s="10" t="s">
        <v>2104</v>
      </c>
      <c r="B338" s="11">
        <v>1633142.0</v>
      </c>
      <c r="C338" s="8" t="s">
        <v>20</v>
      </c>
      <c r="D338" s="9" t="s">
        <v>2105</v>
      </c>
      <c r="E338" s="10" t="s">
        <v>2106</v>
      </c>
      <c r="F338" s="11">
        <v>1633142.0</v>
      </c>
      <c r="G338" s="10"/>
      <c r="H338" s="10" t="s">
        <v>2107</v>
      </c>
      <c r="I338" s="10" t="s">
        <v>2108</v>
      </c>
      <c r="J338" s="10" t="s">
        <v>2109</v>
      </c>
      <c r="K338" s="10" t="s">
        <v>2109</v>
      </c>
      <c r="L338" s="10"/>
      <c r="M338" s="11">
        <v>2015.0</v>
      </c>
      <c r="N338" s="10" t="s">
        <v>2110</v>
      </c>
      <c r="O338" s="10" t="s">
        <v>2110</v>
      </c>
      <c r="P338" s="11">
        <v>8742.0</v>
      </c>
      <c r="Q338" s="11">
        <v>7372.0</v>
      </c>
      <c r="R338" s="11">
        <v>25.0</v>
      </c>
      <c r="S338" s="10"/>
      <c r="T338" s="10"/>
      <c r="U338" s="10"/>
      <c r="V338" s="10"/>
      <c r="W338" s="10"/>
      <c r="X338" s="10"/>
      <c r="Y338" s="10"/>
    </row>
    <row r="339">
      <c r="A339" s="10" t="s">
        <v>2111</v>
      </c>
      <c r="B339" s="11">
        <v>1088454.0</v>
      </c>
      <c r="C339" s="8" t="s">
        <v>20</v>
      </c>
      <c r="D339" s="9" t="s">
        <v>2112</v>
      </c>
      <c r="E339" s="10" t="s">
        <v>2113</v>
      </c>
      <c r="F339" s="11">
        <v>1088454.0</v>
      </c>
      <c r="G339" s="10"/>
      <c r="H339" s="10" t="s">
        <v>2114</v>
      </c>
      <c r="I339" s="10" t="s">
        <v>2115</v>
      </c>
      <c r="J339" s="10" t="s">
        <v>2116</v>
      </c>
      <c r="K339" s="10" t="s">
        <v>2116</v>
      </c>
      <c r="L339" s="10" t="s">
        <v>2116</v>
      </c>
      <c r="M339" s="11">
        <v>2001.0</v>
      </c>
      <c r="N339" s="10"/>
      <c r="O339" s="10"/>
      <c r="P339" s="11">
        <v>7371.0</v>
      </c>
      <c r="Q339" s="11">
        <v>3576.0</v>
      </c>
      <c r="R339" s="11">
        <v>16.0</v>
      </c>
      <c r="S339" s="10"/>
      <c r="T339" s="10"/>
      <c r="U339" s="10"/>
      <c r="V339" s="10"/>
      <c r="W339" s="10"/>
      <c r="X339" s="10"/>
      <c r="Y339" s="10"/>
    </row>
    <row r="340">
      <c r="A340" s="10" t="s">
        <v>2117</v>
      </c>
      <c r="B340" s="11">
        <v>915508.0</v>
      </c>
      <c r="C340" s="8" t="s">
        <v>749</v>
      </c>
      <c r="D340" s="9" t="s">
        <v>2118</v>
      </c>
      <c r="E340" s="10" t="s">
        <v>2119</v>
      </c>
      <c r="F340" s="11">
        <v>915508.0</v>
      </c>
      <c r="G340" s="10"/>
      <c r="H340" s="10" t="s">
        <v>2120</v>
      </c>
      <c r="I340" s="10" t="s">
        <v>2121</v>
      </c>
      <c r="J340" s="10" t="s">
        <v>2122</v>
      </c>
      <c r="K340" s="10" t="s">
        <v>2123</v>
      </c>
      <c r="L340" s="10" t="s">
        <v>2122</v>
      </c>
      <c r="M340" s="11">
        <v>1995.0</v>
      </c>
      <c r="N340" s="10" t="s">
        <v>2124</v>
      </c>
      <c r="O340" s="10" t="s">
        <v>2124</v>
      </c>
      <c r="P340" s="11">
        <v>7372.0</v>
      </c>
      <c r="Q340" s="11">
        <v>7372.0</v>
      </c>
      <c r="R340" s="11">
        <v>13.0</v>
      </c>
      <c r="S340" s="10"/>
      <c r="T340" s="10"/>
      <c r="U340" s="10"/>
      <c r="V340" s="10"/>
      <c r="W340" s="10"/>
      <c r="X340" s="10"/>
      <c r="Y340" s="10"/>
    </row>
    <row r="341">
      <c r="A341" s="10" t="s">
        <v>2125</v>
      </c>
      <c r="B341" s="11">
        <v>1481646.0</v>
      </c>
      <c r="C341" s="8" t="s">
        <v>20</v>
      </c>
      <c r="D341" s="9" t="s">
        <v>2126</v>
      </c>
      <c r="E341" s="10" t="s">
        <v>2127</v>
      </c>
      <c r="F341" s="11">
        <v>1481646.0</v>
      </c>
      <c r="G341" s="10"/>
      <c r="H341" s="10" t="s">
        <v>2128</v>
      </c>
      <c r="I341" s="10" t="s">
        <v>2129</v>
      </c>
      <c r="J341" s="10" t="s">
        <v>2130</v>
      </c>
      <c r="K341" s="10" t="s">
        <v>2130</v>
      </c>
      <c r="L341" s="10" t="s">
        <v>2130</v>
      </c>
      <c r="M341" s="11">
        <v>2020.0</v>
      </c>
      <c r="N341" s="10" t="s">
        <v>2131</v>
      </c>
      <c r="O341" s="10" t="s">
        <v>2131</v>
      </c>
      <c r="P341" s="11">
        <v>7372.0</v>
      </c>
      <c r="Q341" s="11">
        <v>8090.0</v>
      </c>
      <c r="R341" s="11">
        <v>22.0</v>
      </c>
      <c r="S341" s="10"/>
      <c r="T341" s="10"/>
      <c r="U341" s="10"/>
      <c r="V341" s="10"/>
      <c r="W341" s="10"/>
      <c r="X341" s="10"/>
      <c r="Y341" s="10"/>
    </row>
    <row r="342">
      <c r="A342" s="10" t="s">
        <v>2132</v>
      </c>
      <c r="B342" s="11">
        <v>1293314.0</v>
      </c>
      <c r="C342" s="8" t="s">
        <v>20</v>
      </c>
      <c r="D342" s="9" t="s">
        <v>2133</v>
      </c>
      <c r="E342" s="10" t="s">
        <v>2134</v>
      </c>
      <c r="F342" s="11">
        <v>1293314.0</v>
      </c>
      <c r="G342" s="10"/>
      <c r="H342" s="10" t="s">
        <v>2135</v>
      </c>
      <c r="I342" s="10" t="s">
        <v>2136</v>
      </c>
      <c r="J342" s="10" t="s">
        <v>2137</v>
      </c>
      <c r="K342" s="10" t="s">
        <v>2137</v>
      </c>
      <c r="L342" s="10" t="s">
        <v>2137</v>
      </c>
      <c r="M342" s="11">
        <v>2004.0</v>
      </c>
      <c r="N342" s="10" t="s">
        <v>2138</v>
      </c>
      <c r="O342" s="10" t="s">
        <v>2138</v>
      </c>
      <c r="P342" s="11">
        <v>6021.0</v>
      </c>
      <c r="Q342" s="11">
        <v>6020.0</v>
      </c>
      <c r="R342" s="11">
        <v>10.5</v>
      </c>
      <c r="S342" s="10"/>
      <c r="T342" s="10"/>
      <c r="U342" s="10"/>
      <c r="V342" s="10"/>
      <c r="W342" s="10"/>
      <c r="X342" s="10"/>
      <c r="Y342" s="10"/>
    </row>
    <row r="343">
      <c r="A343" s="10" t="s">
        <v>2139</v>
      </c>
      <c r="B343" s="11">
        <v>759944.0</v>
      </c>
      <c r="C343" s="8" t="s">
        <v>20</v>
      </c>
      <c r="D343" s="9" t="s">
        <v>2140</v>
      </c>
      <c r="E343" s="10" t="s">
        <v>2141</v>
      </c>
      <c r="F343" s="11">
        <v>759944.0</v>
      </c>
      <c r="G343" s="11">
        <v>759944.0</v>
      </c>
      <c r="H343" s="10" t="s">
        <v>2142</v>
      </c>
      <c r="I343" s="10" t="s">
        <v>2143</v>
      </c>
      <c r="J343" s="10" t="s">
        <v>2144</v>
      </c>
      <c r="K343" s="10" t="s">
        <v>2144</v>
      </c>
      <c r="L343" s="10" t="s">
        <v>2145</v>
      </c>
      <c r="M343" s="11">
        <v>2014.0</v>
      </c>
      <c r="N343" s="10" t="s">
        <v>2146</v>
      </c>
      <c r="O343" s="10" t="s">
        <v>2146</v>
      </c>
      <c r="P343" s="11">
        <v>6022.0</v>
      </c>
      <c r="Q343" s="11">
        <v>6020.0</v>
      </c>
      <c r="R343" s="11">
        <v>21.5</v>
      </c>
      <c r="S343" s="10"/>
      <c r="T343" s="10"/>
      <c r="U343" s="10"/>
      <c r="V343" s="10"/>
      <c r="W343" s="10"/>
      <c r="X343" s="10"/>
      <c r="Y343" s="10"/>
    </row>
    <row r="344">
      <c r="A344" s="10" t="s">
        <v>2147</v>
      </c>
      <c r="B344" s="11">
        <v>1072847.0</v>
      </c>
      <c r="C344" s="8" t="s">
        <v>20</v>
      </c>
      <c r="D344" s="9" t="s">
        <v>2148</v>
      </c>
      <c r="E344" s="10" t="s">
        <v>2149</v>
      </c>
      <c r="F344" s="11">
        <v>1072847.0</v>
      </c>
      <c r="G344" s="10"/>
      <c r="H344" s="10" t="s">
        <v>2150</v>
      </c>
      <c r="I344" s="10" t="s">
        <v>2151</v>
      </c>
      <c r="J344" s="10" t="s">
        <v>2152</v>
      </c>
      <c r="K344" s="10" t="s">
        <v>2152</v>
      </c>
      <c r="L344" s="10" t="s">
        <v>2152</v>
      </c>
      <c r="M344" s="11">
        <v>1999.0</v>
      </c>
      <c r="N344" s="10" t="s">
        <v>2153</v>
      </c>
      <c r="O344" s="10" t="s">
        <v>2153</v>
      </c>
      <c r="P344" s="11">
        <v>6021.0</v>
      </c>
      <c r="Q344" s="11">
        <v>6020.0</v>
      </c>
      <c r="R344" s="11">
        <v>10.0</v>
      </c>
      <c r="S344" s="10"/>
      <c r="T344" s="10"/>
      <c r="U344" s="10"/>
      <c r="V344" s="10"/>
      <c r="W344" s="10"/>
      <c r="X344" s="10"/>
      <c r="Y344" s="10"/>
    </row>
    <row r="345">
      <c r="A345" s="10" t="s">
        <v>2154</v>
      </c>
      <c r="B345" s="11">
        <v>1005387.0</v>
      </c>
      <c r="C345" s="8" t="s">
        <v>20</v>
      </c>
      <c r="D345" s="9" t="s">
        <v>2155</v>
      </c>
      <c r="E345" s="10" t="s">
        <v>2156</v>
      </c>
      <c r="F345" s="11">
        <v>1005387.0</v>
      </c>
      <c r="G345" s="10"/>
      <c r="H345" s="10" t="s">
        <v>2157</v>
      </c>
      <c r="I345" s="10" t="s">
        <v>2158</v>
      </c>
      <c r="J345" s="10" t="s">
        <v>2159</v>
      </c>
      <c r="K345" s="10" t="s">
        <v>2159</v>
      </c>
      <c r="L345" s="10" t="s">
        <v>2159</v>
      </c>
      <c r="M345" s="11">
        <v>1996.0</v>
      </c>
      <c r="N345" s="10" t="s">
        <v>2160</v>
      </c>
      <c r="O345" s="10" t="s">
        <v>2160</v>
      </c>
      <c r="P345" s="11">
        <v>7372.0</v>
      </c>
      <c r="Q345" s="11">
        <v>7372.0</v>
      </c>
      <c r="R345" s="11">
        <v>10.0</v>
      </c>
      <c r="S345" s="10"/>
      <c r="T345" s="10"/>
      <c r="U345" s="10"/>
      <c r="V345" s="10"/>
      <c r="W345" s="10"/>
      <c r="X345" s="10"/>
      <c r="Y345" s="10"/>
    </row>
    <row r="346">
      <c r="A346" s="10" t="s">
        <v>2161</v>
      </c>
      <c r="B346" s="11">
        <v>1174735.0</v>
      </c>
      <c r="C346" s="8" t="s">
        <v>20</v>
      </c>
      <c r="D346" s="9" t="s">
        <v>2162</v>
      </c>
      <c r="E346" s="10" t="s">
        <v>2163</v>
      </c>
      <c r="F346" s="11">
        <v>1174735.0</v>
      </c>
      <c r="G346" s="10"/>
      <c r="H346" s="10" t="s">
        <v>2164</v>
      </c>
      <c r="I346" s="10" t="s">
        <v>2165</v>
      </c>
      <c r="J346" s="10"/>
      <c r="K346" s="10" t="s">
        <v>2166</v>
      </c>
      <c r="L346" s="10"/>
      <c r="M346" s="11">
        <v>2003.0</v>
      </c>
      <c r="N346" s="10"/>
      <c r="O346" s="10"/>
      <c r="P346" s="11">
        <v>6162.0</v>
      </c>
      <c r="Q346" s="11">
        <v>6162.0</v>
      </c>
      <c r="R346" s="11">
        <v>8.0</v>
      </c>
      <c r="S346" s="10"/>
      <c r="T346" s="10"/>
      <c r="U346" s="10"/>
      <c r="V346" s="10"/>
      <c r="W346" s="10"/>
      <c r="X346" s="10"/>
      <c r="Y346" s="10"/>
    </row>
    <row r="347">
      <c r="A347" s="10" t="s">
        <v>2167</v>
      </c>
      <c r="B347" s="11">
        <v>1094215.0</v>
      </c>
      <c r="C347" s="8" t="s">
        <v>749</v>
      </c>
      <c r="D347" s="9" t="s">
        <v>2168</v>
      </c>
      <c r="E347" s="10" t="s">
        <v>2169</v>
      </c>
      <c r="F347" s="11">
        <v>1094215.0</v>
      </c>
      <c r="G347" s="10"/>
      <c r="H347" s="10" t="s">
        <v>2170</v>
      </c>
      <c r="I347" s="10" t="s">
        <v>2171</v>
      </c>
      <c r="J347" s="10" t="s">
        <v>2172</v>
      </c>
      <c r="K347" s="10" t="s">
        <v>2172</v>
      </c>
      <c r="L347" s="10" t="s">
        <v>2172</v>
      </c>
      <c r="M347" s="11">
        <v>2000.0</v>
      </c>
      <c r="N347" s="10" t="s">
        <v>2173</v>
      </c>
      <c r="O347" s="10" t="s">
        <v>2173</v>
      </c>
      <c r="P347" s="11">
        <v>7371.0</v>
      </c>
      <c r="Q347" s="11">
        <v>7373.0</v>
      </c>
      <c r="R347" s="11">
        <v>7.0</v>
      </c>
      <c r="S347" s="10"/>
      <c r="T347" s="10"/>
      <c r="U347" s="10"/>
      <c r="V347" s="10"/>
      <c r="W347" s="10"/>
      <c r="X347" s="10"/>
      <c r="Y347" s="10"/>
    </row>
    <row r="348">
      <c r="A348" s="10" t="s">
        <v>2174</v>
      </c>
      <c r="B348" s="11">
        <v>1013355.0</v>
      </c>
      <c r="C348" s="8" t="s">
        <v>20</v>
      </c>
      <c r="D348" s="9" t="s">
        <v>2175</v>
      </c>
      <c r="E348" s="10" t="s">
        <v>2176</v>
      </c>
      <c r="F348" s="11">
        <v>1013355.0</v>
      </c>
      <c r="G348" s="10"/>
      <c r="H348" s="10" t="s">
        <v>2177</v>
      </c>
      <c r="I348" s="10" t="s">
        <v>2178</v>
      </c>
      <c r="J348" s="10" t="s">
        <v>2179</v>
      </c>
      <c r="K348" s="10" t="s">
        <v>2179</v>
      </c>
      <c r="L348" s="10" t="s">
        <v>2179</v>
      </c>
      <c r="M348" s="11">
        <v>1996.0</v>
      </c>
      <c r="N348" s="10" t="s">
        <v>2180</v>
      </c>
      <c r="O348" s="10" t="s">
        <v>2180</v>
      </c>
      <c r="P348" s="11">
        <v>7372.0</v>
      </c>
      <c r="Q348" s="11">
        <v>7372.0</v>
      </c>
      <c r="R348" s="11">
        <v>13.0</v>
      </c>
      <c r="S348" s="10"/>
      <c r="T348" s="10"/>
      <c r="U348" s="10"/>
      <c r="V348" s="10"/>
      <c r="W348" s="10"/>
      <c r="X348" s="10"/>
      <c r="Y348" s="10"/>
    </row>
    <row r="349">
      <c r="A349" s="10" t="s">
        <v>2181</v>
      </c>
      <c r="B349" s="11">
        <v>946090.0</v>
      </c>
      <c r="C349" s="8" t="s">
        <v>20</v>
      </c>
      <c r="D349" s="9" t="s">
        <v>2182</v>
      </c>
      <c r="E349" s="10" t="s">
        <v>2183</v>
      </c>
      <c r="F349" s="11">
        <v>946090.0</v>
      </c>
      <c r="G349" s="10"/>
      <c r="H349" s="10" t="s">
        <v>2184</v>
      </c>
      <c r="I349" s="10" t="s">
        <v>2185</v>
      </c>
      <c r="J349" s="10" t="s">
        <v>2186</v>
      </c>
      <c r="K349" s="10" t="s">
        <v>2187</v>
      </c>
      <c r="L349" s="10" t="s">
        <v>2186</v>
      </c>
      <c r="M349" s="11">
        <v>1996.0</v>
      </c>
      <c r="N349" s="10" t="s">
        <v>2188</v>
      </c>
      <c r="O349" s="10" t="s">
        <v>2188</v>
      </c>
      <c r="P349" s="11">
        <v>6022.0</v>
      </c>
      <c r="Q349" s="11">
        <v>6020.0</v>
      </c>
      <c r="R349" s="11">
        <v>12.0</v>
      </c>
      <c r="S349" s="10"/>
      <c r="T349" s="10"/>
      <c r="U349" s="10"/>
      <c r="V349" s="10"/>
      <c r="W349" s="10"/>
      <c r="X349" s="10"/>
      <c r="Y349" s="10"/>
    </row>
    <row r="350">
      <c r="A350" s="10" t="s">
        <v>2189</v>
      </c>
      <c r="B350" s="11">
        <v>1013740.0</v>
      </c>
      <c r="C350" s="8" t="s">
        <v>749</v>
      </c>
      <c r="D350" s="9" t="s">
        <v>2190</v>
      </c>
      <c r="E350" s="10" t="s">
        <v>2191</v>
      </c>
      <c r="F350" s="10"/>
      <c r="G350" s="10"/>
      <c r="H350" s="10" t="s">
        <v>2192</v>
      </c>
      <c r="I350" s="10" t="s">
        <v>2193</v>
      </c>
      <c r="J350" s="10" t="s">
        <v>2194</v>
      </c>
      <c r="K350" s="10" t="s">
        <v>2195</v>
      </c>
      <c r="L350" s="10" t="s">
        <v>2194</v>
      </c>
      <c r="M350" s="11">
        <v>1998.0</v>
      </c>
      <c r="N350" s="10" t="s">
        <v>2196</v>
      </c>
      <c r="O350" s="10" t="s">
        <v>2196</v>
      </c>
      <c r="P350" s="11">
        <v>7379.0</v>
      </c>
      <c r="Q350" s="11">
        <v>7370.0</v>
      </c>
      <c r="R350" s="11">
        <v>15.0</v>
      </c>
      <c r="S350" s="10"/>
      <c r="T350" s="10"/>
      <c r="U350" s="10"/>
      <c r="V350" s="10"/>
      <c r="W350" s="10"/>
      <c r="X350" s="10"/>
      <c r="Y350" s="10"/>
    </row>
    <row r="351">
      <c r="A351" s="10" t="s">
        <v>2197</v>
      </c>
      <c r="B351" s="11">
        <v>1081154.0</v>
      </c>
      <c r="C351" s="8" t="s">
        <v>20</v>
      </c>
      <c r="D351" s="9" t="s">
        <v>2198</v>
      </c>
      <c r="E351" s="10" t="s">
        <v>2199</v>
      </c>
      <c r="F351" s="11">
        <v>1081154.0</v>
      </c>
      <c r="G351" s="10"/>
      <c r="H351" s="10" t="s">
        <v>2200</v>
      </c>
      <c r="I351" s="10" t="s">
        <v>2201</v>
      </c>
      <c r="J351" s="10" t="s">
        <v>2202</v>
      </c>
      <c r="K351" s="10" t="s">
        <v>2202</v>
      </c>
      <c r="L351" s="10" t="s">
        <v>2202</v>
      </c>
      <c r="M351" s="11">
        <v>1999.0</v>
      </c>
      <c r="N351" s="10" t="s">
        <v>2203</v>
      </c>
      <c r="O351" s="10" t="s">
        <v>2203</v>
      </c>
      <c r="P351" s="11">
        <v>7372.0</v>
      </c>
      <c r="Q351" s="11">
        <v>7372.0</v>
      </c>
      <c r="R351" s="11">
        <v>14.0</v>
      </c>
      <c r="S351" s="10"/>
      <c r="T351" s="10"/>
      <c r="U351" s="10"/>
      <c r="V351" s="10"/>
      <c r="W351" s="10"/>
      <c r="X351" s="10"/>
      <c r="Y351" s="10"/>
    </row>
    <row r="352">
      <c r="A352" s="10" t="s">
        <v>2204</v>
      </c>
      <c r="B352" s="11">
        <v>849585.0</v>
      </c>
      <c r="C352" s="8" t="s">
        <v>20</v>
      </c>
      <c r="D352" s="9" t="s">
        <v>2205</v>
      </c>
      <c r="E352" s="10" t="s">
        <v>2206</v>
      </c>
      <c r="F352" s="10"/>
      <c r="G352" s="10"/>
      <c r="H352" s="10" t="s">
        <v>2207</v>
      </c>
      <c r="I352" s="10" t="s">
        <v>2208</v>
      </c>
      <c r="J352" s="10" t="s">
        <v>2209</v>
      </c>
      <c r="K352" s="10" t="s">
        <v>2210</v>
      </c>
      <c r="L352" s="10" t="s">
        <v>2209</v>
      </c>
      <c r="M352" s="11">
        <v>1995.0</v>
      </c>
      <c r="N352" s="10" t="s">
        <v>2211</v>
      </c>
      <c r="O352" s="10" t="s">
        <v>2211</v>
      </c>
      <c r="P352" s="11">
        <v>7372.0</v>
      </c>
      <c r="Q352" s="11">
        <v>7372.0</v>
      </c>
      <c r="R352" s="11">
        <v>11.0</v>
      </c>
      <c r="S352" s="10"/>
      <c r="T352" s="10"/>
      <c r="U352" s="10"/>
      <c r="V352" s="10"/>
      <c r="W352" s="10"/>
      <c r="X352" s="10"/>
      <c r="Y352" s="10"/>
    </row>
    <row r="353">
      <c r="A353" s="10" t="s">
        <v>2212</v>
      </c>
      <c r="B353" s="11">
        <v>1262276.0</v>
      </c>
      <c r="C353" s="8" t="s">
        <v>20</v>
      </c>
      <c r="D353" s="9" t="s">
        <v>2213</v>
      </c>
      <c r="E353" s="10" t="s">
        <v>2214</v>
      </c>
      <c r="F353" s="11">
        <v>1262276.0</v>
      </c>
      <c r="G353" s="10"/>
      <c r="H353" s="10" t="s">
        <v>2215</v>
      </c>
      <c r="I353" s="10" t="s">
        <v>2216</v>
      </c>
      <c r="J353" s="10" t="s">
        <v>2217</v>
      </c>
      <c r="K353" s="10" t="s">
        <v>2217</v>
      </c>
      <c r="L353" s="10" t="s">
        <v>2217</v>
      </c>
      <c r="M353" s="11">
        <v>2003.0</v>
      </c>
      <c r="N353" s="10" t="s">
        <v>2218</v>
      </c>
      <c r="O353" s="10" t="s">
        <v>2218</v>
      </c>
      <c r="P353" s="11">
        <v>6712.0</v>
      </c>
      <c r="Q353" s="11">
        <v>6020.0</v>
      </c>
      <c r="R353" s="11">
        <v>12.0</v>
      </c>
      <c r="S353" s="10"/>
      <c r="T353" s="10"/>
      <c r="U353" s="10"/>
      <c r="V353" s="10"/>
      <c r="W353" s="10"/>
      <c r="X353" s="10"/>
      <c r="Y353" s="10"/>
    </row>
    <row r="354">
      <c r="A354" s="10" t="s">
        <v>2219</v>
      </c>
      <c r="B354" s="11">
        <v>1109802.0</v>
      </c>
      <c r="C354" s="8" t="s">
        <v>20</v>
      </c>
      <c r="D354" s="9" t="s">
        <v>2220</v>
      </c>
      <c r="E354" s="10" t="s">
        <v>2221</v>
      </c>
      <c r="F354" s="11">
        <v>1109802.0</v>
      </c>
      <c r="G354" s="10"/>
      <c r="H354" s="10" t="s">
        <v>2222</v>
      </c>
      <c r="I354" s="10" t="s">
        <v>2223</v>
      </c>
      <c r="J354" s="10" t="s">
        <v>2224</v>
      </c>
      <c r="K354" s="10" t="s">
        <v>2225</v>
      </c>
      <c r="L354" s="10"/>
      <c r="M354" s="11">
        <v>1994.0</v>
      </c>
      <c r="N354" s="10" t="s">
        <v>2226</v>
      </c>
      <c r="O354" s="10" t="s">
        <v>2226</v>
      </c>
      <c r="P354" s="11">
        <v>6324.0</v>
      </c>
      <c r="Q354" s="11">
        <v>6324.0</v>
      </c>
      <c r="R354" s="11">
        <v>11.0</v>
      </c>
      <c r="S354" s="10"/>
      <c r="T354" s="10"/>
      <c r="U354" s="10"/>
      <c r="V354" s="10"/>
      <c r="W354" s="10"/>
      <c r="X354" s="10"/>
      <c r="Y354" s="10"/>
    </row>
    <row r="355">
      <c r="A355" s="10" t="s">
        <v>2227</v>
      </c>
      <c r="B355" s="11">
        <v>1207070.0</v>
      </c>
      <c r="C355" s="8" t="s">
        <v>20</v>
      </c>
      <c r="D355" s="9" t="s">
        <v>2228</v>
      </c>
      <c r="E355" s="10" t="s">
        <v>2229</v>
      </c>
      <c r="F355" s="11">
        <v>1207070.0</v>
      </c>
      <c r="G355" s="10"/>
      <c r="H355" s="10" t="s">
        <v>2230</v>
      </c>
      <c r="I355" s="10" t="s">
        <v>2231</v>
      </c>
      <c r="J355" s="10" t="s">
        <v>2232</v>
      </c>
      <c r="K355" s="10" t="s">
        <v>2233</v>
      </c>
      <c r="L355" s="10" t="s">
        <v>2232</v>
      </c>
      <c r="M355" s="11">
        <v>2003.0</v>
      </c>
      <c r="N355" s="10"/>
      <c r="O355" s="10"/>
      <c r="P355" s="11">
        <v>6035.0</v>
      </c>
      <c r="Q355" s="11">
        <v>6036.0</v>
      </c>
      <c r="R355" s="11">
        <v>14.5</v>
      </c>
      <c r="S355" s="10"/>
      <c r="T355" s="10"/>
      <c r="U355" s="10"/>
      <c r="V355" s="10"/>
      <c r="W355" s="10"/>
      <c r="X355" s="10"/>
      <c r="Y355" s="10"/>
    </row>
    <row r="356">
      <c r="A356" s="10" t="s">
        <v>2234</v>
      </c>
      <c r="B356" s="11">
        <v>1372375.0</v>
      </c>
      <c r="C356" s="8" t="s">
        <v>20</v>
      </c>
      <c r="D356" s="9" t="s">
        <v>2235</v>
      </c>
      <c r="E356" s="10" t="s">
        <v>2236</v>
      </c>
      <c r="F356" s="11">
        <v>1372375.0</v>
      </c>
      <c r="G356" s="10"/>
      <c r="H356" s="10" t="s">
        <v>2237</v>
      </c>
      <c r="I356" s="10" t="s">
        <v>2238</v>
      </c>
      <c r="J356" s="10" t="s">
        <v>2239</v>
      </c>
      <c r="K356" s="10" t="s">
        <v>2239</v>
      </c>
      <c r="L356" s="10" t="s">
        <v>2239</v>
      </c>
      <c r="M356" s="11">
        <v>2012.0</v>
      </c>
      <c r="N356" s="10" t="s">
        <v>2240</v>
      </c>
      <c r="O356" s="10" t="s">
        <v>2240</v>
      </c>
      <c r="P356" s="11">
        <v>7372.0</v>
      </c>
      <c r="Q356" s="11">
        <v>7370.0</v>
      </c>
      <c r="R356" s="11">
        <v>13.0</v>
      </c>
      <c r="S356" s="10"/>
      <c r="T356" s="10"/>
      <c r="U356" s="10"/>
      <c r="V356" s="10"/>
      <c r="W356" s="10"/>
      <c r="X356" s="10"/>
      <c r="Y356" s="10"/>
    </row>
    <row r="357">
      <c r="A357" s="10" t="s">
        <v>2241</v>
      </c>
      <c r="B357" s="11">
        <v>1475348.0</v>
      </c>
      <c r="C357" s="8" t="s">
        <v>20</v>
      </c>
      <c r="D357" s="9" t="s">
        <v>2242</v>
      </c>
      <c r="E357" s="10" t="s">
        <v>2243</v>
      </c>
      <c r="F357" s="11">
        <v>1475348.0</v>
      </c>
      <c r="G357" s="10"/>
      <c r="H357" s="10" t="s">
        <v>2244</v>
      </c>
      <c r="I357" s="10" t="s">
        <v>2245</v>
      </c>
      <c r="J357" s="10" t="s">
        <v>2246</v>
      </c>
      <c r="K357" s="10" t="s">
        <v>2246</v>
      </c>
      <c r="L357" s="10" t="s">
        <v>2246</v>
      </c>
      <c r="M357" s="11">
        <v>2017.0</v>
      </c>
      <c r="N357" s="10" t="s">
        <v>2247</v>
      </c>
      <c r="O357" s="10" t="s">
        <v>2247</v>
      </c>
      <c r="P357" s="11">
        <v>6022.0</v>
      </c>
      <c r="Q357" s="11">
        <v>6020.0</v>
      </c>
      <c r="R357" s="11">
        <v>10.75</v>
      </c>
      <c r="S357" s="10"/>
      <c r="T357" s="10"/>
      <c r="U357" s="10"/>
      <c r="V357" s="10"/>
      <c r="W357" s="10"/>
      <c r="X357" s="10"/>
      <c r="Y357" s="10"/>
    </row>
    <row r="358">
      <c r="A358" s="10" t="s">
        <v>2248</v>
      </c>
      <c r="B358" s="11">
        <v>1029199.0</v>
      </c>
      <c r="C358" s="8" t="s">
        <v>749</v>
      </c>
      <c r="D358" s="9" t="s">
        <v>2249</v>
      </c>
      <c r="E358" s="10" t="s">
        <v>2250</v>
      </c>
      <c r="F358" s="11">
        <v>1029199.0</v>
      </c>
      <c r="G358" s="11">
        <v>1029199.0</v>
      </c>
      <c r="H358" s="10" t="s">
        <v>2251</v>
      </c>
      <c r="I358" s="10" t="s">
        <v>2252</v>
      </c>
      <c r="J358" s="10" t="s">
        <v>2253</v>
      </c>
      <c r="K358" s="10" t="s">
        <v>2253</v>
      </c>
      <c r="L358" s="10" t="s">
        <v>2253</v>
      </c>
      <c r="M358" s="11">
        <v>1997.0</v>
      </c>
      <c r="N358" s="10" t="s">
        <v>2254</v>
      </c>
      <c r="O358" s="10" t="s">
        <v>2254</v>
      </c>
      <c r="P358" s="11">
        <v>6099.0</v>
      </c>
      <c r="Q358" s="11">
        <v>6099.0</v>
      </c>
      <c r="R358" s="11">
        <v>13.5</v>
      </c>
      <c r="S358" s="10"/>
      <c r="T358" s="10"/>
      <c r="U358" s="10"/>
      <c r="V358" s="10"/>
      <c r="W358" s="10"/>
      <c r="X358" s="10"/>
      <c r="Y358" s="10"/>
    </row>
    <row r="359">
      <c r="A359" s="10" t="s">
        <v>2255</v>
      </c>
      <c r="B359" s="11">
        <v>1385867.0</v>
      </c>
      <c r="C359" s="8" t="s">
        <v>762</v>
      </c>
      <c r="D359" s="9" t="s">
        <v>2256</v>
      </c>
      <c r="E359" s="10" t="s">
        <v>2257</v>
      </c>
      <c r="F359" s="11">
        <v>1385867.0</v>
      </c>
      <c r="G359" s="10"/>
      <c r="H359" s="10" t="s">
        <v>2258</v>
      </c>
      <c r="I359" s="10" t="s">
        <v>2259</v>
      </c>
      <c r="J359" s="10" t="s">
        <v>2260</v>
      </c>
      <c r="K359" s="10" t="s">
        <v>2260</v>
      </c>
      <c r="L359" s="10" t="s">
        <v>2260</v>
      </c>
      <c r="M359" s="11">
        <v>2016.0</v>
      </c>
      <c r="N359" s="10" t="s">
        <v>2261</v>
      </c>
      <c r="O359" s="10" t="s">
        <v>2261</v>
      </c>
      <c r="P359" s="11">
        <v>7372.0</v>
      </c>
      <c r="Q359" s="11">
        <v>7370.0</v>
      </c>
      <c r="R359" s="11">
        <v>18.0</v>
      </c>
      <c r="S359" s="10"/>
      <c r="T359" s="10"/>
      <c r="U359" s="10"/>
      <c r="V359" s="10"/>
      <c r="W359" s="10"/>
      <c r="X359" s="10"/>
      <c r="Y359" s="10"/>
    </row>
    <row r="360">
      <c r="A360" s="10" t="s">
        <v>2262</v>
      </c>
      <c r="B360" s="11">
        <v>945066.0</v>
      </c>
      <c r="C360" s="8" t="s">
        <v>20</v>
      </c>
      <c r="D360" s="9" t="s">
        <v>2263</v>
      </c>
      <c r="E360" s="10" t="s">
        <v>2264</v>
      </c>
      <c r="F360" s="11">
        <v>945066.0</v>
      </c>
      <c r="G360" s="10"/>
      <c r="H360" s="10" t="s">
        <v>2265</v>
      </c>
      <c r="I360" s="10" t="s">
        <v>2266</v>
      </c>
      <c r="J360" s="10" t="s">
        <v>2267</v>
      </c>
      <c r="K360" s="10" t="s">
        <v>2268</v>
      </c>
      <c r="L360" s="10" t="s">
        <v>2267</v>
      </c>
      <c r="M360" s="11">
        <v>1995.0</v>
      </c>
      <c r="N360" s="10" t="s">
        <v>2269</v>
      </c>
      <c r="O360" s="10" t="s">
        <v>2269</v>
      </c>
      <c r="P360" s="11">
        <v>7372.0</v>
      </c>
      <c r="Q360" s="11">
        <v>7372.0</v>
      </c>
      <c r="R360" s="11">
        <v>13.0</v>
      </c>
      <c r="S360" s="10"/>
      <c r="T360" s="10"/>
      <c r="U360" s="10"/>
      <c r="V360" s="10"/>
      <c r="W360" s="10"/>
      <c r="X360" s="10"/>
      <c r="Y360" s="10"/>
    </row>
    <row r="361">
      <c r="A361" s="10" t="s">
        <v>2270</v>
      </c>
      <c r="B361" s="11">
        <v>920521.0</v>
      </c>
      <c r="C361" s="8" t="s">
        <v>20</v>
      </c>
      <c r="D361" s="9" t="s">
        <v>2271</v>
      </c>
      <c r="E361" s="10" t="s">
        <v>2272</v>
      </c>
      <c r="F361" s="11">
        <v>920521.0</v>
      </c>
      <c r="G361" s="10"/>
      <c r="H361" s="10" t="s">
        <v>2273</v>
      </c>
      <c r="I361" s="10" t="s">
        <v>2274</v>
      </c>
      <c r="J361" s="10" t="s">
        <v>2275</v>
      </c>
      <c r="K361" s="10" t="s">
        <v>2276</v>
      </c>
      <c r="L361" s="10"/>
      <c r="M361" s="11">
        <v>1994.0</v>
      </c>
      <c r="N361" s="10" t="s">
        <v>2277</v>
      </c>
      <c r="O361" s="10" t="s">
        <v>2277</v>
      </c>
      <c r="P361" s="11">
        <v>7363.0</v>
      </c>
      <c r="Q361" s="11">
        <v>7363.0</v>
      </c>
      <c r="R361" s="11">
        <v>14.0</v>
      </c>
      <c r="S361" s="10"/>
      <c r="T361" s="10"/>
      <c r="U361" s="10"/>
      <c r="V361" s="10"/>
      <c r="W361" s="10"/>
      <c r="X361" s="10"/>
      <c r="Y361" s="10"/>
    </row>
    <row r="362">
      <c r="A362" s="10" t="s">
        <v>2278</v>
      </c>
      <c r="B362" s="11">
        <v>1712923.0</v>
      </c>
      <c r="C362" s="8" t="s">
        <v>749</v>
      </c>
      <c r="D362" s="9" t="s">
        <v>2279</v>
      </c>
      <c r="E362" s="10" t="s">
        <v>2280</v>
      </c>
      <c r="F362" s="11">
        <v>1712923.0</v>
      </c>
      <c r="G362" s="10"/>
      <c r="H362" s="10" t="s">
        <v>2281</v>
      </c>
      <c r="I362" s="10" t="s">
        <v>2282</v>
      </c>
      <c r="J362" s="10"/>
      <c r="K362" s="10" t="s">
        <v>2283</v>
      </c>
      <c r="L362" s="10"/>
      <c r="M362" s="11">
        <v>2018.0</v>
      </c>
      <c r="N362" s="10" t="s">
        <v>2284</v>
      </c>
      <c r="O362" s="10" t="s">
        <v>2284</v>
      </c>
      <c r="P362" s="11">
        <v>7372.0</v>
      </c>
      <c r="Q362" s="11">
        <v>7370.0</v>
      </c>
      <c r="R362" s="11">
        <v>23.0</v>
      </c>
      <c r="S362" s="10"/>
      <c r="T362" s="10"/>
      <c r="U362" s="10"/>
      <c r="V362" s="10"/>
      <c r="W362" s="10"/>
      <c r="X362" s="10"/>
      <c r="Y362" s="10"/>
    </row>
    <row r="363">
      <c r="A363" s="10" t="s">
        <v>2285</v>
      </c>
      <c r="B363" s="11">
        <v>1079577.0</v>
      </c>
      <c r="C363" s="8" t="s">
        <v>20</v>
      </c>
      <c r="D363" s="9" t="s">
        <v>2286</v>
      </c>
      <c r="E363" s="10" t="s">
        <v>2287</v>
      </c>
      <c r="F363" s="11">
        <v>1079577.0</v>
      </c>
      <c r="G363" s="10"/>
      <c r="H363" s="10" t="s">
        <v>2288</v>
      </c>
      <c r="I363" s="10" t="s">
        <v>2289</v>
      </c>
      <c r="J363" s="10" t="s">
        <v>2290</v>
      </c>
      <c r="K363" s="10" t="s">
        <v>2290</v>
      </c>
      <c r="L363" s="10" t="s">
        <v>2290</v>
      </c>
      <c r="M363" s="11">
        <v>1999.0</v>
      </c>
      <c r="N363" s="10" t="s">
        <v>2291</v>
      </c>
      <c r="O363" s="10" t="s">
        <v>2291</v>
      </c>
      <c r="P363" s="11">
        <v>6321.0</v>
      </c>
      <c r="Q363" s="11">
        <v>6321.0</v>
      </c>
      <c r="R363" s="11">
        <v>23.75</v>
      </c>
      <c r="S363" s="10"/>
      <c r="T363" s="10"/>
      <c r="U363" s="10"/>
      <c r="V363" s="10"/>
      <c r="W363" s="10"/>
      <c r="X363" s="10"/>
      <c r="Y363" s="10"/>
    </row>
    <row r="364">
      <c r="A364" s="10" t="s">
        <v>2292</v>
      </c>
      <c r="B364" s="11">
        <v>1826892.0</v>
      </c>
      <c r="C364" s="8" t="s">
        <v>20</v>
      </c>
      <c r="D364" s="9" t="s">
        <v>2293</v>
      </c>
      <c r="E364" s="10" t="s">
        <v>2294</v>
      </c>
      <c r="F364" s="11">
        <v>1826892.0</v>
      </c>
      <c r="G364" s="11">
        <v>1826892.0</v>
      </c>
      <c r="H364" s="10" t="s">
        <v>2295</v>
      </c>
      <c r="I364" s="10" t="s">
        <v>2296</v>
      </c>
      <c r="J364" s="10" t="s">
        <v>2297</v>
      </c>
      <c r="K364" s="10" t="s">
        <v>2297</v>
      </c>
      <c r="L364" s="10" t="s">
        <v>2297</v>
      </c>
      <c r="M364" s="11">
        <v>2020.0</v>
      </c>
      <c r="N364" s="10" t="s">
        <v>2298</v>
      </c>
      <c r="O364" s="10" t="s">
        <v>2298</v>
      </c>
      <c r="P364" s="11">
        <v>8731.0</v>
      </c>
      <c r="Q364" s="11">
        <v>2836.0</v>
      </c>
      <c r="R364" s="11">
        <v>18.0</v>
      </c>
      <c r="S364" s="10"/>
      <c r="T364" s="10"/>
      <c r="U364" s="10"/>
      <c r="V364" s="10"/>
      <c r="W364" s="10"/>
      <c r="X364" s="10"/>
      <c r="Y364" s="10"/>
    </row>
    <row r="365">
      <c r="A365" s="10" t="s">
        <v>2299</v>
      </c>
      <c r="B365" s="11">
        <v>1258602.0</v>
      </c>
      <c r="C365" s="8" t="s">
        <v>749</v>
      </c>
      <c r="D365" s="9" t="s">
        <v>2300</v>
      </c>
      <c r="E365" s="10" t="s">
        <v>2301</v>
      </c>
      <c r="F365" s="11">
        <v>1258602.0</v>
      </c>
      <c r="G365" s="11">
        <v>1258602.0</v>
      </c>
      <c r="H365" s="10" t="s">
        <v>2302</v>
      </c>
      <c r="I365" s="10" t="s">
        <v>2303</v>
      </c>
      <c r="J365" s="10" t="s">
        <v>2304</v>
      </c>
      <c r="K365" s="10" t="s">
        <v>2304</v>
      </c>
      <c r="L365" s="10" t="s">
        <v>2304</v>
      </c>
      <c r="M365" s="11">
        <v>2003.0</v>
      </c>
      <c r="N365" s="10" t="s">
        <v>2305</v>
      </c>
      <c r="O365" s="10" t="s">
        <v>2305</v>
      </c>
      <c r="P365" s="11">
        <v>6141.0</v>
      </c>
      <c r="Q365" s="11">
        <v>6141.0</v>
      </c>
      <c r="R365" s="11">
        <v>21.0</v>
      </c>
      <c r="S365" s="10"/>
      <c r="T365" s="10"/>
      <c r="U365" s="10"/>
      <c r="V365" s="10"/>
      <c r="W365" s="10"/>
      <c r="X365" s="10"/>
      <c r="Y365" s="10"/>
    </row>
    <row r="366">
      <c r="A366" s="10" t="s">
        <v>2306</v>
      </c>
      <c r="B366" s="11">
        <v>1007997.0</v>
      </c>
      <c r="C366" s="8" t="s">
        <v>20</v>
      </c>
      <c r="D366" s="9" t="s">
        <v>2307</v>
      </c>
      <c r="E366" s="10" t="s">
        <v>2308</v>
      </c>
      <c r="F366" s="11">
        <v>1007997.0</v>
      </c>
      <c r="G366" s="10"/>
      <c r="H366" s="10" t="s">
        <v>2309</v>
      </c>
      <c r="I366" s="10" t="s">
        <v>2310</v>
      </c>
      <c r="J366" s="10" t="s">
        <v>2311</v>
      </c>
      <c r="K366" s="10" t="s">
        <v>2312</v>
      </c>
      <c r="L366" s="10" t="s">
        <v>2311</v>
      </c>
      <c r="M366" s="11">
        <v>1996.0</v>
      </c>
      <c r="N366" s="10" t="s">
        <v>2313</v>
      </c>
      <c r="O366" s="10" t="s">
        <v>2313</v>
      </c>
      <c r="P366" s="11">
        <v>7372.0</v>
      </c>
      <c r="Q366" s="11">
        <v>7372.0</v>
      </c>
      <c r="R366" s="11">
        <v>14.0</v>
      </c>
      <c r="S366" s="10"/>
      <c r="T366" s="10"/>
      <c r="U366" s="10"/>
      <c r="V366" s="10"/>
      <c r="W366" s="10"/>
      <c r="X366" s="10"/>
      <c r="Y366" s="10"/>
    </row>
    <row r="367">
      <c r="A367" s="10" t="s">
        <v>2314</v>
      </c>
      <c r="B367" s="11">
        <v>942136.0</v>
      </c>
      <c r="C367" s="8" t="s">
        <v>20</v>
      </c>
      <c r="D367" s="9" t="s">
        <v>2315</v>
      </c>
      <c r="E367" s="10" t="s">
        <v>2316</v>
      </c>
      <c r="F367" s="11">
        <v>942136.0</v>
      </c>
      <c r="G367" s="10"/>
      <c r="H367" s="10" t="s">
        <v>2317</v>
      </c>
      <c r="I367" s="10" t="s">
        <v>2318</v>
      </c>
      <c r="J367" s="10" t="s">
        <v>2319</v>
      </c>
      <c r="K367" s="10" t="s">
        <v>2319</v>
      </c>
      <c r="L367" s="10" t="s">
        <v>2319</v>
      </c>
      <c r="M367" s="11">
        <v>1995.0</v>
      </c>
      <c r="N367" s="10" t="s">
        <v>2320</v>
      </c>
      <c r="O367" s="10" t="s">
        <v>2320</v>
      </c>
      <c r="P367" s="11">
        <v>6411.0</v>
      </c>
      <c r="Q367" s="11">
        <v>6411.0</v>
      </c>
      <c r="R367" s="11">
        <v>16.0</v>
      </c>
      <c r="S367" s="10"/>
      <c r="T367" s="10"/>
      <c r="U367" s="10"/>
      <c r="V367" s="10"/>
      <c r="W367" s="10"/>
      <c r="X367" s="10"/>
      <c r="Y367" s="10"/>
    </row>
    <row r="368">
      <c r="A368" s="10" t="s">
        <v>2321</v>
      </c>
      <c r="B368" s="11">
        <v>1088147.0</v>
      </c>
      <c r="C368" s="8" t="s">
        <v>20</v>
      </c>
      <c r="D368" s="9" t="s">
        <v>2322</v>
      </c>
      <c r="E368" s="10" t="s">
        <v>2323</v>
      </c>
      <c r="F368" s="11">
        <v>1088147.0</v>
      </c>
      <c r="G368" s="10"/>
      <c r="H368" s="10" t="s">
        <v>2324</v>
      </c>
      <c r="I368" s="10" t="s">
        <v>2325</v>
      </c>
      <c r="J368" s="10" t="s">
        <v>2326</v>
      </c>
      <c r="K368" s="10" t="s">
        <v>2326</v>
      </c>
      <c r="L368" s="10" t="s">
        <v>2326</v>
      </c>
      <c r="M368" s="11">
        <v>1999.0</v>
      </c>
      <c r="N368" s="10" t="s">
        <v>822</v>
      </c>
      <c r="O368" s="10" t="s">
        <v>822</v>
      </c>
      <c r="P368" s="11">
        <v>7372.0</v>
      </c>
      <c r="Q368" s="11">
        <v>7372.0</v>
      </c>
      <c r="R368" s="11">
        <v>11.0</v>
      </c>
      <c r="S368" s="10"/>
      <c r="T368" s="10"/>
      <c r="U368" s="10"/>
      <c r="V368" s="10"/>
      <c r="W368" s="10"/>
      <c r="X368" s="10"/>
      <c r="Y368" s="10"/>
    </row>
    <row r="369">
      <c r="A369" s="10" t="s">
        <v>2327</v>
      </c>
      <c r="B369" s="11">
        <v>1534969.0</v>
      </c>
      <c r="C369" s="8" t="s">
        <v>20</v>
      </c>
      <c r="D369" s="9" t="s">
        <v>2328</v>
      </c>
      <c r="E369" s="10" t="s">
        <v>2329</v>
      </c>
      <c r="F369" s="11">
        <v>1534969.0</v>
      </c>
      <c r="G369" s="11">
        <v>1534969.0</v>
      </c>
      <c r="H369" s="10" t="s">
        <v>2330</v>
      </c>
      <c r="I369" s="10" t="s">
        <v>2331</v>
      </c>
      <c r="J369" s="10" t="s">
        <v>2332</v>
      </c>
      <c r="K369" s="10" t="s">
        <v>2332</v>
      </c>
      <c r="L369" s="10" t="s">
        <v>2332</v>
      </c>
      <c r="M369" s="11">
        <v>2021.0</v>
      </c>
      <c r="N369" s="10" t="s">
        <v>2333</v>
      </c>
      <c r="O369" s="10" t="s">
        <v>2333</v>
      </c>
      <c r="P369" s="11">
        <v>8734.0</v>
      </c>
      <c r="Q369" s="11">
        <v>2835.0</v>
      </c>
      <c r="R369" s="11">
        <v>16.0</v>
      </c>
      <c r="S369" s="10"/>
      <c r="T369" s="10"/>
      <c r="U369" s="10"/>
      <c r="V369" s="10"/>
      <c r="W369" s="10"/>
      <c r="X369" s="10"/>
      <c r="Y369" s="10"/>
    </row>
    <row r="370">
      <c r="A370" s="10" t="s">
        <v>2334</v>
      </c>
      <c r="B370" s="11">
        <v>895921.0</v>
      </c>
      <c r="C370" s="8" t="s">
        <v>20</v>
      </c>
      <c r="D370" s="9" t="s">
        <v>2335</v>
      </c>
      <c r="E370" s="10"/>
      <c r="F370" s="10"/>
      <c r="G370" s="10"/>
      <c r="H370" s="10" t="s">
        <v>2336</v>
      </c>
      <c r="I370" s="10" t="s">
        <v>2337</v>
      </c>
      <c r="J370" s="10" t="s">
        <v>2338</v>
      </c>
      <c r="K370" s="10"/>
      <c r="L370" s="10" t="s">
        <v>2338</v>
      </c>
      <c r="M370" s="11">
        <v>1999.0</v>
      </c>
      <c r="N370" s="10"/>
      <c r="O370" s="10"/>
      <c r="P370" s="11">
        <v>7373.0</v>
      </c>
      <c r="Q370" s="10"/>
      <c r="R370" s="11">
        <v>6.0</v>
      </c>
      <c r="S370" s="10"/>
      <c r="T370" s="10"/>
      <c r="U370" s="10"/>
      <c r="V370" s="10"/>
      <c r="W370" s="10"/>
      <c r="X370" s="10"/>
      <c r="Y370" s="10"/>
    </row>
    <row r="371">
      <c r="A371" s="10" t="s">
        <v>2339</v>
      </c>
      <c r="B371" s="11">
        <v>921863.0</v>
      </c>
      <c r="C371" s="8" t="s">
        <v>20</v>
      </c>
      <c r="D371" s="9" t="s">
        <v>2340</v>
      </c>
      <c r="E371" s="10" t="s">
        <v>2341</v>
      </c>
      <c r="F371" s="11">
        <v>921863.0</v>
      </c>
      <c r="G371" s="10"/>
      <c r="H371" s="10" t="s">
        <v>2342</v>
      </c>
      <c r="I371" s="10" t="s">
        <v>2343</v>
      </c>
      <c r="J371" s="10" t="s">
        <v>2344</v>
      </c>
      <c r="K371" s="10" t="s">
        <v>2344</v>
      </c>
      <c r="L371" s="10" t="s">
        <v>2344</v>
      </c>
      <c r="M371" s="11">
        <v>1994.0</v>
      </c>
      <c r="N371" s="10" t="s">
        <v>2345</v>
      </c>
      <c r="O371" s="10" t="s">
        <v>2345</v>
      </c>
      <c r="P371" s="11">
        <v>6141.0</v>
      </c>
      <c r="Q371" s="11">
        <v>6141.0</v>
      </c>
      <c r="R371" s="11">
        <v>9.0</v>
      </c>
      <c r="S371" s="10"/>
      <c r="T371" s="10"/>
      <c r="U371" s="10"/>
      <c r="V371" s="10"/>
      <c r="W371" s="10"/>
      <c r="X371" s="10"/>
      <c r="Y371" s="10"/>
    </row>
    <row r="372">
      <c r="A372" s="10" t="s">
        <v>2346</v>
      </c>
      <c r="B372" s="11">
        <v>1783328.0</v>
      </c>
      <c r="C372" s="8" t="s">
        <v>20</v>
      </c>
      <c r="D372" s="9" t="s">
        <v>2347</v>
      </c>
      <c r="E372" s="10" t="s">
        <v>2348</v>
      </c>
      <c r="F372" s="11">
        <v>1783328.0</v>
      </c>
      <c r="G372" s="11">
        <v>1783328.0</v>
      </c>
      <c r="H372" s="10" t="s">
        <v>2349</v>
      </c>
      <c r="I372" s="10" t="s">
        <v>2350</v>
      </c>
      <c r="J372" s="10" t="s">
        <v>2351</v>
      </c>
      <c r="K372" s="10" t="s">
        <v>2351</v>
      </c>
      <c r="L372" s="10" t="s">
        <v>2351</v>
      </c>
      <c r="M372" s="11">
        <v>2021.0</v>
      </c>
      <c r="N372" s="10" t="s">
        <v>1153</v>
      </c>
      <c r="O372" s="10" t="s">
        <v>1153</v>
      </c>
      <c r="P372" s="11">
        <v>8731.0</v>
      </c>
      <c r="Q372" s="11">
        <v>2836.0</v>
      </c>
      <c r="R372" s="11">
        <v>15.0</v>
      </c>
      <c r="S372" s="10"/>
      <c r="T372" s="10"/>
      <c r="U372" s="10"/>
      <c r="V372" s="10"/>
      <c r="W372" s="10"/>
      <c r="X372" s="10"/>
      <c r="Y372" s="10"/>
    </row>
    <row r="373">
      <c r="A373" s="10" t="s">
        <v>2352</v>
      </c>
      <c r="B373" s="11">
        <v>1023695.0</v>
      </c>
      <c r="C373" s="8" t="s">
        <v>20</v>
      </c>
      <c r="D373" s="9" t="s">
        <v>2353</v>
      </c>
      <c r="E373" s="10" t="s">
        <v>2354</v>
      </c>
      <c r="F373" s="11">
        <v>1023695.0</v>
      </c>
      <c r="G373" s="10"/>
      <c r="H373" s="10" t="s">
        <v>2355</v>
      </c>
      <c r="I373" s="10" t="s">
        <v>2356</v>
      </c>
      <c r="J373" s="10" t="s">
        <v>2357</v>
      </c>
      <c r="K373" s="10" t="s">
        <v>2358</v>
      </c>
      <c r="L373" s="10" t="s">
        <v>2357</v>
      </c>
      <c r="M373" s="11">
        <v>1997.0</v>
      </c>
      <c r="N373" s="10" t="s">
        <v>2359</v>
      </c>
      <c r="O373" s="10" t="s">
        <v>2359</v>
      </c>
      <c r="P373" s="11">
        <v>6411.0</v>
      </c>
      <c r="Q373" s="11">
        <v>7363.0</v>
      </c>
      <c r="R373" s="11">
        <v>7.25</v>
      </c>
      <c r="S373" s="10"/>
      <c r="T373" s="10"/>
      <c r="U373" s="10"/>
      <c r="V373" s="10"/>
      <c r="W373" s="10"/>
      <c r="X373" s="10"/>
      <c r="Y373" s="10"/>
    </row>
    <row r="374">
      <c r="A374" s="10" t="s">
        <v>2360</v>
      </c>
      <c r="B374" s="11">
        <v>889936.0</v>
      </c>
      <c r="C374" s="8" t="s">
        <v>20</v>
      </c>
      <c r="D374" s="9" t="s">
        <v>2361</v>
      </c>
      <c r="E374" s="10" t="s">
        <v>2362</v>
      </c>
      <c r="F374" s="11">
        <v>889936.0</v>
      </c>
      <c r="G374" s="10"/>
      <c r="H374" s="10" t="s">
        <v>2363</v>
      </c>
      <c r="I374" s="10" t="s">
        <v>2364</v>
      </c>
      <c r="J374" s="10" t="s">
        <v>2365</v>
      </c>
      <c r="K374" s="10" t="s">
        <v>2365</v>
      </c>
      <c r="L374" s="10" t="s">
        <v>2365</v>
      </c>
      <c r="M374" s="11">
        <v>1999.0</v>
      </c>
      <c r="N374" s="10" t="s">
        <v>2366</v>
      </c>
      <c r="O374" s="10" t="s">
        <v>2366</v>
      </c>
      <c r="P374" s="11">
        <v>6022.0</v>
      </c>
      <c r="Q374" s="11">
        <v>6020.0</v>
      </c>
      <c r="R374" s="11">
        <v>18.0</v>
      </c>
      <c r="S374" s="10"/>
      <c r="T374" s="10"/>
      <c r="U374" s="10"/>
      <c r="V374" s="10"/>
      <c r="W374" s="10"/>
      <c r="X374" s="10"/>
      <c r="Y374" s="10"/>
    </row>
    <row r="375">
      <c r="A375" s="10" t="s">
        <v>2367</v>
      </c>
      <c r="B375" s="11">
        <v>916823.0</v>
      </c>
      <c r="C375" s="8" t="s">
        <v>20</v>
      </c>
      <c r="D375" s="9" t="s">
        <v>2368</v>
      </c>
      <c r="E375" s="10" t="s">
        <v>2369</v>
      </c>
      <c r="F375" s="11">
        <v>916823.0</v>
      </c>
      <c r="G375" s="10"/>
      <c r="H375" s="10" t="s">
        <v>2370</v>
      </c>
      <c r="I375" s="10" t="s">
        <v>2371</v>
      </c>
      <c r="J375" s="10" t="s">
        <v>2372</v>
      </c>
      <c r="K375" s="10" t="s">
        <v>2372</v>
      </c>
      <c r="L375" s="10" t="s">
        <v>2372</v>
      </c>
      <c r="M375" s="11">
        <v>1998.0</v>
      </c>
      <c r="N375" s="10" t="s">
        <v>2373</v>
      </c>
      <c r="O375" s="10" t="s">
        <v>2373</v>
      </c>
      <c r="P375" s="11">
        <v>6162.0</v>
      </c>
      <c r="Q375" s="11">
        <v>6162.0</v>
      </c>
      <c r="R375" s="11">
        <v>6.5</v>
      </c>
      <c r="S375" s="10"/>
      <c r="T375" s="10"/>
      <c r="U375" s="10"/>
      <c r="V375" s="10"/>
      <c r="W375" s="10"/>
      <c r="X375" s="10"/>
      <c r="Y375" s="10"/>
    </row>
    <row r="376">
      <c r="A376" s="10" t="s">
        <v>2374</v>
      </c>
      <c r="B376" s="11">
        <v>1099219.0</v>
      </c>
      <c r="C376" s="8" t="s">
        <v>20</v>
      </c>
      <c r="D376" s="9" t="s">
        <v>2375</v>
      </c>
      <c r="E376" s="10" t="s">
        <v>2376</v>
      </c>
      <c r="F376" s="11">
        <v>1099219.0</v>
      </c>
      <c r="G376" s="11">
        <v>1099219.0</v>
      </c>
      <c r="H376" s="10" t="s">
        <v>2377</v>
      </c>
      <c r="I376" s="10" t="s">
        <v>2378</v>
      </c>
      <c r="J376" s="10" t="s">
        <v>2379</v>
      </c>
      <c r="K376" s="10" t="s">
        <v>2379</v>
      </c>
      <c r="L376" s="10" t="s">
        <v>2379</v>
      </c>
      <c r="M376" s="11">
        <v>2000.0</v>
      </c>
      <c r="N376" s="10" t="s">
        <v>2380</v>
      </c>
      <c r="O376" s="10" t="s">
        <v>2380</v>
      </c>
      <c r="P376" s="11">
        <v>6311.0</v>
      </c>
      <c r="Q376" s="11">
        <v>6311.0</v>
      </c>
      <c r="R376" s="11">
        <v>14.25</v>
      </c>
      <c r="S376" s="10"/>
      <c r="T376" s="10"/>
      <c r="U376" s="10"/>
      <c r="V376" s="10"/>
      <c r="W376" s="10"/>
      <c r="X376" s="10"/>
      <c r="Y376" s="10"/>
    </row>
    <row r="377">
      <c r="A377" s="10" t="s">
        <v>2381</v>
      </c>
      <c r="B377" s="11">
        <v>1289434.0</v>
      </c>
      <c r="C377" s="8" t="s">
        <v>20</v>
      </c>
      <c r="D377" s="9" t="s">
        <v>2382</v>
      </c>
      <c r="E377" s="10" t="s">
        <v>2383</v>
      </c>
      <c r="F377" s="11">
        <v>1289434.0</v>
      </c>
      <c r="G377" s="11">
        <v>1622229.0</v>
      </c>
      <c r="H377" s="10" t="s">
        <v>2384</v>
      </c>
      <c r="I377" s="10" t="s">
        <v>2385</v>
      </c>
      <c r="J377" s="10" t="s">
        <v>2386</v>
      </c>
      <c r="K377" s="10" t="s">
        <v>2387</v>
      </c>
      <c r="L377" s="10" t="s">
        <v>2386</v>
      </c>
      <c r="M377" s="11">
        <v>2004.0</v>
      </c>
      <c r="N377" s="10" t="s">
        <v>2388</v>
      </c>
      <c r="O377" s="10" t="s">
        <v>2388</v>
      </c>
      <c r="P377" s="11">
        <v>7373.0</v>
      </c>
      <c r="Q377" s="11">
        <v>7373.0</v>
      </c>
      <c r="R377" s="11">
        <v>12.0</v>
      </c>
      <c r="S377" s="10"/>
      <c r="T377" s="10"/>
      <c r="U377" s="10"/>
      <c r="V377" s="10"/>
      <c r="W377" s="10"/>
      <c r="X377" s="10"/>
      <c r="Y377" s="10"/>
    </row>
    <row r="378">
      <c r="A378" s="10" t="s">
        <v>2389</v>
      </c>
      <c r="B378" s="11">
        <v>1091271.0</v>
      </c>
      <c r="C378" s="8" t="s">
        <v>20</v>
      </c>
      <c r="D378" s="9" t="s">
        <v>2390</v>
      </c>
      <c r="E378" s="10" t="s">
        <v>2391</v>
      </c>
      <c r="F378" s="11">
        <v>1091271.0</v>
      </c>
      <c r="G378" s="10"/>
      <c r="H378" s="10" t="s">
        <v>2392</v>
      </c>
      <c r="I378" s="10" t="s">
        <v>2393</v>
      </c>
      <c r="J378" s="10" t="s">
        <v>2394</v>
      </c>
      <c r="K378" s="10" t="s">
        <v>2395</v>
      </c>
      <c r="L378" s="10" t="s">
        <v>2394</v>
      </c>
      <c r="M378" s="11">
        <v>1999.0</v>
      </c>
      <c r="N378" s="10" t="s">
        <v>2396</v>
      </c>
      <c r="O378" s="10" t="s">
        <v>2396</v>
      </c>
      <c r="P378" s="11">
        <v>7389.0</v>
      </c>
      <c r="Q378" s="11">
        <v>7372.0</v>
      </c>
      <c r="R378" s="11">
        <v>21.0</v>
      </c>
      <c r="S378" s="10"/>
      <c r="T378" s="10"/>
      <c r="U378" s="10"/>
      <c r="V378" s="10"/>
      <c r="W378" s="10"/>
      <c r="X378" s="10"/>
      <c r="Y378" s="10"/>
    </row>
    <row r="379">
      <c r="A379" s="10" t="s">
        <v>2397</v>
      </c>
      <c r="B379" s="11">
        <v>1794515.0</v>
      </c>
      <c r="C379" s="8" t="s">
        <v>20</v>
      </c>
      <c r="D379" s="9" t="s">
        <v>2398</v>
      </c>
      <c r="E379" s="10" t="s">
        <v>2399</v>
      </c>
      <c r="F379" s="11">
        <v>1794515.0</v>
      </c>
      <c r="G379" s="10"/>
      <c r="H379" s="10" t="s">
        <v>2400</v>
      </c>
      <c r="I379" s="10" t="s">
        <v>2401</v>
      </c>
      <c r="J379" s="10" t="s">
        <v>2402</v>
      </c>
      <c r="K379" s="10" t="s">
        <v>2403</v>
      </c>
      <c r="L379" s="10" t="s">
        <v>2402</v>
      </c>
      <c r="M379" s="11">
        <v>2020.0</v>
      </c>
      <c r="N379" s="10" t="s">
        <v>2404</v>
      </c>
      <c r="O379" s="10" t="s">
        <v>2404</v>
      </c>
      <c r="P379" s="11">
        <v>7371.0</v>
      </c>
      <c r="Q379" s="11">
        <v>7370.0</v>
      </c>
      <c r="R379" s="11">
        <v>21.0</v>
      </c>
      <c r="S379" s="10"/>
      <c r="T379" s="10"/>
      <c r="U379" s="10"/>
      <c r="V379" s="10"/>
      <c r="W379" s="10"/>
      <c r="X379" s="10"/>
      <c r="Y379" s="10"/>
    </row>
    <row r="380">
      <c r="A380" s="10" t="s">
        <v>2405</v>
      </c>
      <c r="B380" s="11">
        <v>1851003.0</v>
      </c>
      <c r="C380" s="8" t="s">
        <v>20</v>
      </c>
      <c r="D380" s="9" t="s">
        <v>2406</v>
      </c>
      <c r="E380" s="10" t="s">
        <v>2407</v>
      </c>
      <c r="F380" s="11">
        <v>1851003.0</v>
      </c>
      <c r="G380" s="11">
        <v>1851003.0</v>
      </c>
      <c r="H380" s="10" t="s">
        <v>2408</v>
      </c>
      <c r="I380" s="10" t="s">
        <v>2409</v>
      </c>
      <c r="J380" s="10" t="s">
        <v>2410</v>
      </c>
      <c r="K380" s="10" t="s">
        <v>2410</v>
      </c>
      <c r="L380" s="10" t="s">
        <v>2410</v>
      </c>
      <c r="M380" s="11">
        <v>2021.0</v>
      </c>
      <c r="N380" s="10" t="s">
        <v>2411</v>
      </c>
      <c r="O380" s="10" t="s">
        <v>2411</v>
      </c>
      <c r="P380" s="11">
        <v>7372.0</v>
      </c>
      <c r="Q380" s="11">
        <v>7370.0</v>
      </c>
      <c r="R380" s="11">
        <v>10.0</v>
      </c>
      <c r="S380" s="10"/>
      <c r="T380" s="10"/>
      <c r="U380" s="10"/>
      <c r="V380" s="10"/>
      <c r="W380" s="10"/>
      <c r="X380" s="10"/>
      <c r="Y380" s="10"/>
    </row>
    <row r="381">
      <c r="A381" s="10" t="s">
        <v>2412</v>
      </c>
      <c r="B381" s="11">
        <v>1799448.0</v>
      </c>
      <c r="C381" s="8" t="s">
        <v>20</v>
      </c>
      <c r="D381" s="9" t="s">
        <v>2413</v>
      </c>
      <c r="E381" s="10"/>
      <c r="F381" s="10"/>
      <c r="G381" s="11">
        <v>1799448.0</v>
      </c>
      <c r="H381" s="10" t="s">
        <v>2414</v>
      </c>
      <c r="I381" s="10" t="s">
        <v>2415</v>
      </c>
      <c r="J381" s="10" t="s">
        <v>2416</v>
      </c>
      <c r="K381" s="10"/>
      <c r="L381" s="10" t="s">
        <v>2416</v>
      </c>
      <c r="M381" s="11">
        <v>2020.0</v>
      </c>
      <c r="N381" s="10"/>
      <c r="O381" s="10"/>
      <c r="P381" s="11">
        <v>8731.0</v>
      </c>
      <c r="Q381" s="10"/>
      <c r="R381" s="11">
        <v>15.0</v>
      </c>
      <c r="S381" s="10"/>
      <c r="T381" s="10"/>
      <c r="U381" s="10"/>
      <c r="V381" s="10"/>
      <c r="W381" s="10"/>
      <c r="X381" s="10"/>
      <c r="Y381" s="10"/>
    </row>
    <row r="382">
      <c r="A382" s="10" t="s">
        <v>2417</v>
      </c>
      <c r="B382" s="11">
        <v>926326.0</v>
      </c>
      <c r="C382" s="8" t="s">
        <v>20</v>
      </c>
      <c r="D382" s="9" t="s">
        <v>2418</v>
      </c>
      <c r="E382" s="10" t="s">
        <v>2419</v>
      </c>
      <c r="F382" s="11">
        <v>926326.0</v>
      </c>
      <c r="G382" s="11">
        <v>926326.0</v>
      </c>
      <c r="H382" s="10" t="s">
        <v>2420</v>
      </c>
      <c r="I382" s="10" t="s">
        <v>2421</v>
      </c>
      <c r="J382" s="10" t="s">
        <v>2422</v>
      </c>
      <c r="K382" s="10" t="s">
        <v>2422</v>
      </c>
      <c r="L382" s="10" t="s">
        <v>2422</v>
      </c>
      <c r="M382" s="11">
        <v>2001.0</v>
      </c>
      <c r="N382" s="10" t="s">
        <v>2423</v>
      </c>
      <c r="O382" s="10" t="s">
        <v>2423</v>
      </c>
      <c r="P382" s="11">
        <v>7372.0</v>
      </c>
      <c r="Q382" s="11">
        <v>3559.0</v>
      </c>
      <c r="R382" s="11">
        <v>7.0</v>
      </c>
      <c r="S382" s="10"/>
      <c r="T382" s="10"/>
      <c r="U382" s="10"/>
      <c r="V382" s="10"/>
      <c r="W382" s="10"/>
      <c r="X382" s="10"/>
      <c r="Y382" s="10"/>
    </row>
    <row r="383">
      <c r="A383" s="10" t="s">
        <v>2424</v>
      </c>
      <c r="B383" s="11">
        <v>1314223.0</v>
      </c>
      <c r="C383" s="8" t="s">
        <v>20</v>
      </c>
      <c r="D383" s="9" t="s">
        <v>2425</v>
      </c>
      <c r="E383" s="10" t="s">
        <v>2426</v>
      </c>
      <c r="F383" s="11">
        <v>1314223.0</v>
      </c>
      <c r="G383" s="11">
        <v>1697818.0</v>
      </c>
      <c r="H383" s="10" t="s">
        <v>2427</v>
      </c>
      <c r="I383" s="10" t="s">
        <v>2428</v>
      </c>
      <c r="J383" s="10" t="s">
        <v>2429</v>
      </c>
      <c r="K383" s="10" t="s">
        <v>2430</v>
      </c>
      <c r="L383" s="10" t="s">
        <v>2429</v>
      </c>
      <c r="M383" s="11">
        <v>2014.0</v>
      </c>
      <c r="N383" s="10" t="s">
        <v>2431</v>
      </c>
      <c r="O383" s="10" t="s">
        <v>2431</v>
      </c>
      <c r="P383" s="11">
        <v>7372.0</v>
      </c>
      <c r="Q383" s="11">
        <v>7370.0</v>
      </c>
      <c r="R383" s="11">
        <v>13.0</v>
      </c>
      <c r="S383" s="10"/>
      <c r="T383" s="10"/>
      <c r="U383" s="10"/>
      <c r="V383" s="10"/>
      <c r="W383" s="10"/>
      <c r="X383" s="10"/>
      <c r="Y383" s="10"/>
    </row>
    <row r="384">
      <c r="A384" s="10" t="s">
        <v>2432</v>
      </c>
      <c r="B384" s="11">
        <v>934203.0</v>
      </c>
      <c r="C384" s="8" t="s">
        <v>20</v>
      </c>
      <c r="D384" s="9" t="s">
        <v>2433</v>
      </c>
      <c r="E384" s="10" t="s">
        <v>2434</v>
      </c>
      <c r="F384" s="11">
        <v>934203.0</v>
      </c>
      <c r="G384" s="10"/>
      <c r="H384" s="10" t="s">
        <v>2435</v>
      </c>
      <c r="I384" s="10" t="s">
        <v>2436</v>
      </c>
      <c r="J384" s="10" t="s">
        <v>2437</v>
      </c>
      <c r="K384" s="10" t="s">
        <v>2437</v>
      </c>
      <c r="L384" s="10" t="s">
        <v>2437</v>
      </c>
      <c r="M384" s="11">
        <v>1996.0</v>
      </c>
      <c r="N384" s="10" t="s">
        <v>2438</v>
      </c>
      <c r="O384" s="10" t="s">
        <v>2438</v>
      </c>
      <c r="P384" s="11">
        <v>6712.0</v>
      </c>
      <c r="Q384" s="11">
        <v>6035.0</v>
      </c>
      <c r="R384" s="11">
        <v>10.0</v>
      </c>
      <c r="S384" s="10"/>
      <c r="T384" s="10"/>
      <c r="U384" s="10"/>
      <c r="V384" s="10"/>
      <c r="W384" s="10"/>
      <c r="X384" s="10"/>
      <c r="Y384" s="10"/>
    </row>
    <row r="385">
      <c r="A385" s="10" t="s">
        <v>2439</v>
      </c>
      <c r="B385" s="11">
        <v>1022438.0</v>
      </c>
      <c r="C385" s="8" t="s">
        <v>20</v>
      </c>
      <c r="D385" s="9" t="s">
        <v>2440</v>
      </c>
      <c r="E385" s="10" t="s">
        <v>2441</v>
      </c>
      <c r="F385" s="11">
        <v>1022438.0</v>
      </c>
      <c r="G385" s="10"/>
      <c r="H385" s="10" t="s">
        <v>2442</v>
      </c>
      <c r="I385" s="10" t="s">
        <v>2443</v>
      </c>
      <c r="J385" s="10" t="s">
        <v>2444</v>
      </c>
      <c r="K385" s="10" t="s">
        <v>2445</v>
      </c>
      <c r="L385" s="10" t="s">
        <v>2444</v>
      </c>
      <c r="M385" s="11">
        <v>1997.0</v>
      </c>
      <c r="N385" s="10" t="s">
        <v>2446</v>
      </c>
      <c r="O385" s="10" t="s">
        <v>2446</v>
      </c>
      <c r="P385" s="11">
        <v>6512.0</v>
      </c>
      <c r="Q385" s="11">
        <v>6531.0</v>
      </c>
      <c r="R385" s="11">
        <v>17.5</v>
      </c>
      <c r="S385" s="10"/>
      <c r="T385" s="10"/>
      <c r="U385" s="10"/>
      <c r="V385" s="10"/>
      <c r="W385" s="10"/>
      <c r="X385" s="10"/>
      <c r="Y385" s="10"/>
    </row>
    <row r="386">
      <c r="A386" s="10" t="s">
        <v>2447</v>
      </c>
      <c r="B386" s="11">
        <v>1014383.0</v>
      </c>
      <c r="C386" s="8" t="s">
        <v>762</v>
      </c>
      <c r="D386" s="9" t="s">
        <v>2448</v>
      </c>
      <c r="E386" s="10" t="s">
        <v>2449</v>
      </c>
      <c r="F386" s="11">
        <v>1014383.0</v>
      </c>
      <c r="G386" s="10"/>
      <c r="H386" s="10" t="s">
        <v>2450</v>
      </c>
      <c r="I386" s="10" t="s">
        <v>2451</v>
      </c>
      <c r="J386" s="10" t="s">
        <v>2452</v>
      </c>
      <c r="K386" s="10" t="s">
        <v>2452</v>
      </c>
      <c r="L386" s="10" t="s">
        <v>2452</v>
      </c>
      <c r="M386" s="11">
        <v>1999.0</v>
      </c>
      <c r="N386" s="10" t="s">
        <v>2453</v>
      </c>
      <c r="O386" s="10" t="s">
        <v>2453</v>
      </c>
      <c r="P386" s="11">
        <v>7372.0</v>
      </c>
      <c r="Q386" s="11">
        <v>7372.0</v>
      </c>
      <c r="R386" s="11">
        <v>13.0</v>
      </c>
      <c r="S386" s="10"/>
      <c r="T386" s="10"/>
      <c r="U386" s="10"/>
      <c r="V386" s="10"/>
      <c r="W386" s="10"/>
      <c r="X386" s="10"/>
      <c r="Y386" s="10"/>
    </row>
    <row r="387">
      <c r="A387" s="1" t="s">
        <v>2454</v>
      </c>
      <c r="B387" s="20">
        <v>1477333.0</v>
      </c>
      <c r="C387" s="21" t="s">
        <v>762</v>
      </c>
      <c r="D387" s="21" t="s">
        <v>2455</v>
      </c>
      <c r="E387" s="1" t="s">
        <v>2456</v>
      </c>
      <c r="F387" s="20">
        <v>1477333.0</v>
      </c>
      <c r="G387" s="20">
        <v>1477333.0</v>
      </c>
      <c r="H387" s="1" t="s">
        <v>2457</v>
      </c>
      <c r="I387" s="1" t="s">
        <v>2458</v>
      </c>
      <c r="J387" s="1" t="s">
        <v>2459</v>
      </c>
      <c r="K387" s="1" t="s">
        <v>2459</v>
      </c>
      <c r="L387" s="1" t="s">
        <v>2459</v>
      </c>
      <c r="M387" s="20">
        <v>2019.0</v>
      </c>
      <c r="N387" s="1" t="s">
        <v>2460</v>
      </c>
      <c r="O387" s="1" t="s">
        <v>2460</v>
      </c>
      <c r="P387" s="20">
        <v>7375.0</v>
      </c>
      <c r="Q387" s="20">
        <v>7370.0</v>
      </c>
      <c r="R387" s="20">
        <v>15.0</v>
      </c>
      <c r="S387" s="1"/>
      <c r="T387" s="1"/>
      <c r="U387" s="1"/>
      <c r="V387" s="1"/>
      <c r="W387" s="1"/>
      <c r="X387" s="1"/>
      <c r="Y387" s="1"/>
    </row>
    <row r="388">
      <c r="A388" s="10" t="s">
        <v>2461</v>
      </c>
      <c r="B388" s="11">
        <v>1671858.0</v>
      </c>
      <c r="C388" s="8" t="s">
        <v>20</v>
      </c>
      <c r="D388" s="9" t="s">
        <v>2462</v>
      </c>
      <c r="E388" s="10" t="s">
        <v>2463</v>
      </c>
      <c r="F388" s="11">
        <v>1671858.0</v>
      </c>
      <c r="G388" s="10"/>
      <c r="H388" s="10" t="s">
        <v>2464</v>
      </c>
      <c r="I388" s="10" t="s">
        <v>2465</v>
      </c>
      <c r="J388" s="10" t="s">
        <v>2466</v>
      </c>
      <c r="K388" s="10" t="s">
        <v>2467</v>
      </c>
      <c r="L388" s="10" t="s">
        <v>2466</v>
      </c>
      <c r="M388" s="11">
        <v>2020.0</v>
      </c>
      <c r="N388" s="10" t="s">
        <v>2468</v>
      </c>
      <c r="O388" s="10" t="s">
        <v>2468</v>
      </c>
      <c r="P388" s="11">
        <v>8731.0</v>
      </c>
      <c r="Q388" s="11">
        <v>2836.0</v>
      </c>
      <c r="R388" s="11">
        <v>21.0</v>
      </c>
      <c r="S388" s="10"/>
      <c r="T388" s="10"/>
      <c r="U388" s="10"/>
      <c r="V388" s="10"/>
      <c r="W388" s="10"/>
      <c r="X388" s="10"/>
      <c r="Y388" s="10"/>
    </row>
    <row r="389">
      <c r="A389" s="10" t="s">
        <v>2469</v>
      </c>
      <c r="B389" s="11">
        <v>1273397.0</v>
      </c>
      <c r="C389" s="8" t="s">
        <v>20</v>
      </c>
      <c r="D389" s="9" t="s">
        <v>2470</v>
      </c>
      <c r="E389" s="10" t="s">
        <v>2471</v>
      </c>
      <c r="F389" s="11">
        <v>1273397.0</v>
      </c>
      <c r="G389" s="10"/>
      <c r="H389" s="10" t="s">
        <v>2472</v>
      </c>
      <c r="I389" s="10" t="s">
        <v>2473</v>
      </c>
      <c r="J389" s="10" t="s">
        <v>2474</v>
      </c>
      <c r="K389" s="10" t="s">
        <v>2475</v>
      </c>
      <c r="L389" s="10" t="s">
        <v>2474</v>
      </c>
      <c r="M389" s="11">
        <v>2004.0</v>
      </c>
      <c r="N389" s="10" t="s">
        <v>2476</v>
      </c>
      <c r="O389" s="10" t="s">
        <v>2476</v>
      </c>
      <c r="P389" s="11">
        <v>6321.0</v>
      </c>
      <c r="Q389" s="11">
        <v>6331.0</v>
      </c>
      <c r="R389" s="11">
        <v>10.5</v>
      </c>
      <c r="S389" s="10"/>
      <c r="T389" s="10"/>
      <c r="U389" s="10"/>
      <c r="V389" s="10"/>
      <c r="W389" s="10"/>
      <c r="X389" s="10"/>
      <c r="Y389" s="10"/>
    </row>
    <row r="390">
      <c r="A390" s="10" t="s">
        <v>2477</v>
      </c>
      <c r="B390" s="11">
        <v>1423774.0</v>
      </c>
      <c r="C390" s="8" t="s">
        <v>762</v>
      </c>
      <c r="D390" s="9" t="s">
        <v>2478</v>
      </c>
      <c r="E390" s="10" t="s">
        <v>2479</v>
      </c>
      <c r="F390" s="11">
        <v>1423774.0</v>
      </c>
      <c r="G390" s="10"/>
      <c r="H390" s="10" t="s">
        <v>2480</v>
      </c>
      <c r="I390" s="10" t="s">
        <v>2481</v>
      </c>
      <c r="J390" s="10" t="s">
        <v>2482</v>
      </c>
      <c r="K390" s="10" t="s">
        <v>2482</v>
      </c>
      <c r="L390" s="10" t="s">
        <v>2482</v>
      </c>
      <c r="M390" s="11">
        <v>2018.0</v>
      </c>
      <c r="N390" s="10" t="s">
        <v>2483</v>
      </c>
      <c r="O390" s="10" t="s">
        <v>2483</v>
      </c>
      <c r="P390" s="11">
        <v>7372.0</v>
      </c>
      <c r="Q390" s="11">
        <v>7370.0</v>
      </c>
      <c r="R390" s="11">
        <v>14.0</v>
      </c>
      <c r="S390" s="10"/>
      <c r="T390" s="10"/>
      <c r="U390" s="10"/>
      <c r="V390" s="10"/>
      <c r="W390" s="10"/>
      <c r="X390" s="10"/>
      <c r="Y390" s="10"/>
    </row>
    <row r="391">
      <c r="A391" s="10" t="s">
        <v>2484</v>
      </c>
      <c r="B391" s="11">
        <v>1810019.0</v>
      </c>
      <c r="C391" s="8" t="s">
        <v>762</v>
      </c>
      <c r="D391" s="9" t="s">
        <v>2485</v>
      </c>
      <c r="E391" s="10" t="s">
        <v>2486</v>
      </c>
      <c r="F391" s="11">
        <v>1810019.0</v>
      </c>
      <c r="G391" s="11">
        <v>1810019.0</v>
      </c>
      <c r="H391" s="10" t="s">
        <v>2487</v>
      </c>
      <c r="I391" s="10" t="s">
        <v>2488</v>
      </c>
      <c r="J391" s="10" t="s">
        <v>2489</v>
      </c>
      <c r="K391" s="10" t="s">
        <v>2489</v>
      </c>
      <c r="L391" s="10" t="s">
        <v>2489</v>
      </c>
      <c r="M391" s="11">
        <v>2020.0</v>
      </c>
      <c r="N391" s="10" t="s">
        <v>2490</v>
      </c>
      <c r="O391" s="10" t="s">
        <v>2490</v>
      </c>
      <c r="P391" s="11">
        <v>7371.0</v>
      </c>
      <c r="Q391" s="11">
        <v>7370.0</v>
      </c>
      <c r="R391" s="11">
        <v>21.0</v>
      </c>
      <c r="S391" s="10"/>
      <c r="T391" s="10"/>
      <c r="U391" s="10"/>
      <c r="V391" s="10"/>
      <c r="W391" s="10"/>
      <c r="X391" s="10"/>
      <c r="Y391" s="10"/>
    </row>
    <row r="392">
      <c r="A392" s="10" t="s">
        <v>2491</v>
      </c>
      <c r="B392" s="11">
        <v>1264707.0</v>
      </c>
      <c r="C392" s="8" t="s">
        <v>20</v>
      </c>
      <c r="D392" s="9" t="s">
        <v>2492</v>
      </c>
      <c r="E392" s="10" t="s">
        <v>2493</v>
      </c>
      <c r="F392" s="11">
        <v>1264707.0</v>
      </c>
      <c r="G392" s="10"/>
      <c r="H392" s="10" t="s">
        <v>2494</v>
      </c>
      <c r="I392" s="10" t="s">
        <v>2495</v>
      </c>
      <c r="J392" s="10" t="s">
        <v>2496</v>
      </c>
      <c r="K392" s="10" t="s">
        <v>2496</v>
      </c>
      <c r="L392" s="10"/>
      <c r="M392" s="11">
        <v>2004.0</v>
      </c>
      <c r="N392" s="10"/>
      <c r="O392" s="10"/>
      <c r="P392" s="11">
        <v>6153.0</v>
      </c>
      <c r="Q392" s="11">
        <v>6153.0</v>
      </c>
      <c r="R392" s="11">
        <v>15.0</v>
      </c>
      <c r="S392" s="10"/>
      <c r="T392" s="10"/>
      <c r="U392" s="10"/>
      <c r="V392" s="10"/>
      <c r="W392" s="10"/>
      <c r="X392" s="10"/>
      <c r="Y392" s="10"/>
    </row>
    <row r="393">
      <c r="A393" s="10" t="s">
        <v>2497</v>
      </c>
      <c r="B393" s="11">
        <v>813562.0</v>
      </c>
      <c r="C393" s="8" t="s">
        <v>20</v>
      </c>
      <c r="D393" s="9" t="s">
        <v>2498</v>
      </c>
      <c r="E393" s="10" t="s">
        <v>2499</v>
      </c>
      <c r="F393" s="11">
        <v>813562.0</v>
      </c>
      <c r="G393" s="10"/>
      <c r="H393" s="10" t="s">
        <v>2500</v>
      </c>
      <c r="I393" s="10" t="s">
        <v>2501</v>
      </c>
      <c r="J393" s="10" t="s">
        <v>2502</v>
      </c>
      <c r="K393" s="10" t="s">
        <v>2502</v>
      </c>
      <c r="L393" s="10" t="s">
        <v>2502</v>
      </c>
      <c r="M393" s="11">
        <v>1999.0</v>
      </c>
      <c r="N393" s="10" t="s">
        <v>2503</v>
      </c>
      <c r="O393" s="10" t="s">
        <v>2503</v>
      </c>
      <c r="P393" s="11">
        <v>6411.0</v>
      </c>
      <c r="Q393" s="11">
        <v>6411.0</v>
      </c>
      <c r="R393" s="11">
        <v>7.5</v>
      </c>
      <c r="S393" s="10"/>
      <c r="T393" s="10"/>
      <c r="U393" s="10"/>
      <c r="V393" s="10"/>
      <c r="W393" s="10"/>
      <c r="X393" s="10"/>
      <c r="Y393" s="10"/>
    </row>
    <row r="394">
      <c r="A394" s="10" t="s">
        <v>2504</v>
      </c>
      <c r="B394" s="11">
        <v>1625278.0</v>
      </c>
      <c r="C394" s="22" t="s">
        <v>749</v>
      </c>
      <c r="D394" s="9" t="s">
        <v>2505</v>
      </c>
      <c r="E394" s="10" t="s">
        <v>2506</v>
      </c>
      <c r="F394" s="11">
        <v>1625278.0</v>
      </c>
      <c r="G394" s="11">
        <v>1625278.0</v>
      </c>
      <c r="H394" s="10" t="s">
        <v>2507</v>
      </c>
      <c r="I394" s="10" t="s">
        <v>2508</v>
      </c>
      <c r="J394" s="10" t="s">
        <v>2509</v>
      </c>
      <c r="K394" s="10" t="s">
        <v>2509</v>
      </c>
      <c r="L394" s="10" t="s">
        <v>2509</v>
      </c>
      <c r="M394" s="11">
        <v>2021.0</v>
      </c>
      <c r="N394" s="10" t="s">
        <v>2510</v>
      </c>
      <c r="O394" s="10" t="s">
        <v>2510</v>
      </c>
      <c r="P394" s="11">
        <v>7372.0</v>
      </c>
      <c r="Q394" s="11">
        <v>7370.0</v>
      </c>
      <c r="R394" s="11">
        <v>18.0</v>
      </c>
      <c r="S394" s="10"/>
      <c r="T394" s="10"/>
      <c r="U394" s="10"/>
      <c r="V394" s="10"/>
      <c r="W394" s="10"/>
      <c r="X394" s="10"/>
      <c r="Y394" s="10"/>
    </row>
    <row r="395">
      <c r="A395" s="10" t="s">
        <v>2511</v>
      </c>
      <c r="B395" s="11">
        <v>1079451.0</v>
      </c>
      <c r="C395" s="8" t="s">
        <v>20</v>
      </c>
      <c r="D395" s="9" t="s">
        <v>2512</v>
      </c>
      <c r="E395" s="10" t="s">
        <v>2513</v>
      </c>
      <c r="F395" s="11">
        <v>1079451.0</v>
      </c>
      <c r="G395" s="10"/>
      <c r="H395" s="10" t="s">
        <v>2514</v>
      </c>
      <c r="I395" s="10" t="s">
        <v>2515</v>
      </c>
      <c r="J395" s="10" t="s">
        <v>2516</v>
      </c>
      <c r="K395" s="10" t="s">
        <v>2517</v>
      </c>
      <c r="L395" s="10" t="s">
        <v>2516</v>
      </c>
      <c r="M395" s="11">
        <v>1999.0</v>
      </c>
      <c r="N395" s="10" t="s">
        <v>2518</v>
      </c>
      <c r="O395" s="10" t="s">
        <v>2518</v>
      </c>
      <c r="P395" s="11">
        <v>7375.0</v>
      </c>
      <c r="Q395" s="11">
        <v>7372.0</v>
      </c>
      <c r="R395" s="11">
        <v>15.0</v>
      </c>
      <c r="S395" s="10"/>
      <c r="T395" s="10"/>
      <c r="U395" s="10"/>
      <c r="V395" s="10"/>
      <c r="W395" s="10"/>
      <c r="X395" s="10"/>
      <c r="Y395" s="10"/>
    </row>
    <row r="396">
      <c r="A396" s="10" t="s">
        <v>2519</v>
      </c>
      <c r="B396" s="11">
        <v>1439199.0</v>
      </c>
      <c r="C396" s="8" t="s">
        <v>20</v>
      </c>
      <c r="D396" s="9" t="s">
        <v>2520</v>
      </c>
      <c r="E396" s="10" t="s">
        <v>2521</v>
      </c>
      <c r="F396" s="11">
        <v>1439199.0</v>
      </c>
      <c r="G396" s="10"/>
      <c r="H396" s="10" t="s">
        <v>2522</v>
      </c>
      <c r="I396" s="10" t="s">
        <v>2523</v>
      </c>
      <c r="J396" s="10" t="s">
        <v>2524</v>
      </c>
      <c r="K396" s="10" t="s">
        <v>2525</v>
      </c>
      <c r="L396" s="10" t="s">
        <v>2524</v>
      </c>
      <c r="M396" s="11">
        <v>2010.0</v>
      </c>
      <c r="N396" s="10" t="s">
        <v>2526</v>
      </c>
      <c r="O396" s="10" t="s">
        <v>2526</v>
      </c>
      <c r="P396" s="11">
        <v>7361.0</v>
      </c>
      <c r="Q396" s="11">
        <v>7361.0</v>
      </c>
      <c r="R396" s="11">
        <v>13.0</v>
      </c>
      <c r="S396" s="10"/>
      <c r="T396" s="10"/>
      <c r="U396" s="10"/>
      <c r="V396" s="10"/>
      <c r="W396" s="10"/>
      <c r="X396" s="10"/>
      <c r="Y396" s="10"/>
    </row>
    <row r="397">
      <c r="A397" s="10" t="s">
        <v>2527</v>
      </c>
      <c r="B397" s="11">
        <v>1066197.0</v>
      </c>
      <c r="C397" s="8" t="s">
        <v>20</v>
      </c>
      <c r="D397" s="9" t="s">
        <v>2528</v>
      </c>
      <c r="E397" s="10" t="s">
        <v>2529</v>
      </c>
      <c r="F397" s="11">
        <v>1066197.0</v>
      </c>
      <c r="G397" s="10"/>
      <c r="H397" s="10" t="s">
        <v>2530</v>
      </c>
      <c r="I397" s="10" t="s">
        <v>2531</v>
      </c>
      <c r="J397" s="10" t="s">
        <v>2532</v>
      </c>
      <c r="K397" s="10" t="s">
        <v>2533</v>
      </c>
      <c r="L397" s="10" t="s">
        <v>2532</v>
      </c>
      <c r="M397" s="11">
        <v>1999.0</v>
      </c>
      <c r="N397" s="10" t="s">
        <v>2534</v>
      </c>
      <c r="O397" s="10" t="s">
        <v>2534</v>
      </c>
      <c r="P397" s="11">
        <v>7375.0</v>
      </c>
      <c r="Q397" s="11">
        <v>7371.0</v>
      </c>
      <c r="R397" s="11">
        <v>12.0</v>
      </c>
      <c r="S397" s="10"/>
      <c r="T397" s="10"/>
      <c r="U397" s="10"/>
      <c r="V397" s="10"/>
      <c r="W397" s="10"/>
      <c r="X397" s="10"/>
      <c r="Y397" s="10"/>
    </row>
    <row r="398">
      <c r="A398" s="10" t="s">
        <v>2535</v>
      </c>
      <c r="B398" s="11">
        <v>1563699.0</v>
      </c>
      <c r="C398" s="8" t="s">
        <v>20</v>
      </c>
      <c r="D398" s="9" t="s">
        <v>2536</v>
      </c>
      <c r="E398" s="10" t="s">
        <v>2537</v>
      </c>
      <c r="F398" s="11">
        <v>1563699.0</v>
      </c>
      <c r="G398" s="10"/>
      <c r="H398" s="10" t="s">
        <v>2538</v>
      </c>
      <c r="I398" s="10" t="s">
        <v>2539</v>
      </c>
      <c r="J398" s="10" t="s">
        <v>2540</v>
      </c>
      <c r="K398" s="10" t="s">
        <v>2540</v>
      </c>
      <c r="L398" s="10" t="s">
        <v>2541</v>
      </c>
      <c r="M398" s="11">
        <v>2013.0</v>
      </c>
      <c r="N398" s="10" t="s">
        <v>887</v>
      </c>
      <c r="O398" s="10" t="s">
        <v>887</v>
      </c>
      <c r="P398" s="11">
        <v>7372.0</v>
      </c>
      <c r="Q398" s="11">
        <v>7370.0</v>
      </c>
      <c r="R398" s="11">
        <v>10.0</v>
      </c>
      <c r="S398" s="10"/>
      <c r="T398" s="10"/>
      <c r="U398" s="10"/>
      <c r="V398" s="10"/>
      <c r="W398" s="10"/>
      <c r="X398" s="10"/>
      <c r="Y398" s="10"/>
    </row>
    <row r="399">
      <c r="A399" s="10" t="s">
        <v>2542</v>
      </c>
      <c r="B399" s="11">
        <v>926296.0</v>
      </c>
      <c r="C399" s="8" t="s">
        <v>20</v>
      </c>
      <c r="D399" s="9" t="s">
        <v>2543</v>
      </c>
      <c r="E399" s="10"/>
      <c r="F399" s="10"/>
      <c r="G399" s="10"/>
      <c r="H399" s="10" t="s">
        <v>2544</v>
      </c>
      <c r="I399" s="10" t="s">
        <v>2545</v>
      </c>
      <c r="J399" s="10" t="s">
        <v>2546</v>
      </c>
      <c r="K399" s="10"/>
      <c r="L399" s="10" t="s">
        <v>2546</v>
      </c>
      <c r="M399" s="11">
        <v>1994.0</v>
      </c>
      <c r="N399" s="10"/>
      <c r="O399" s="10"/>
      <c r="P399" s="11">
        <v>6141.0</v>
      </c>
      <c r="Q399" s="10"/>
      <c r="R399" s="11">
        <v>11.0</v>
      </c>
      <c r="S399" s="10"/>
      <c r="T399" s="10"/>
      <c r="U399" s="10"/>
      <c r="V399" s="10"/>
      <c r="W399" s="10"/>
      <c r="X399" s="10"/>
      <c r="Y399" s="10"/>
    </row>
    <row r="400">
      <c r="A400" s="10" t="s">
        <v>2547</v>
      </c>
      <c r="B400" s="11">
        <v>1072471.0</v>
      </c>
      <c r="C400" s="8" t="s">
        <v>20</v>
      </c>
      <c r="D400" s="9" t="s">
        <v>2548</v>
      </c>
      <c r="E400" s="10" t="s">
        <v>2549</v>
      </c>
      <c r="F400" s="11">
        <v>1072471.0</v>
      </c>
      <c r="G400" s="10"/>
      <c r="H400" s="10" t="s">
        <v>2550</v>
      </c>
      <c r="I400" s="10" t="s">
        <v>2551</v>
      </c>
      <c r="J400" s="10" t="s">
        <v>2552</v>
      </c>
      <c r="K400" s="10" t="s">
        <v>2553</v>
      </c>
      <c r="L400" s="10" t="s">
        <v>2554</v>
      </c>
      <c r="M400" s="11">
        <v>1999.0</v>
      </c>
      <c r="N400" s="10" t="s">
        <v>2555</v>
      </c>
      <c r="O400" s="10" t="s">
        <v>2555</v>
      </c>
      <c r="P400" s="11">
        <v>8742.0</v>
      </c>
      <c r="Q400" s="11">
        <v>5912.0</v>
      </c>
      <c r="R400" s="11">
        <v>18.0</v>
      </c>
      <c r="S400" s="10"/>
      <c r="T400" s="10"/>
      <c r="U400" s="10"/>
      <c r="V400" s="10"/>
      <c r="W400" s="10"/>
      <c r="X400" s="10"/>
      <c r="Y400" s="10"/>
    </row>
    <row r="401">
      <c r="A401" s="10" t="s">
        <v>2556</v>
      </c>
      <c r="B401" s="11">
        <v>938320.0</v>
      </c>
      <c r="C401" s="8" t="s">
        <v>20</v>
      </c>
      <c r="D401" s="9" t="s">
        <v>2557</v>
      </c>
      <c r="E401" s="10" t="s">
        <v>2558</v>
      </c>
      <c r="F401" s="11">
        <v>938320.0</v>
      </c>
      <c r="G401" s="10"/>
      <c r="H401" s="10" t="s">
        <v>2559</v>
      </c>
      <c r="I401" s="10" t="s">
        <v>2560</v>
      </c>
      <c r="J401" s="10" t="s">
        <v>2561</v>
      </c>
      <c r="K401" s="10" t="s">
        <v>2561</v>
      </c>
      <c r="L401" s="10" t="s">
        <v>2561</v>
      </c>
      <c r="M401" s="11">
        <v>1996.0</v>
      </c>
      <c r="N401" s="10" t="s">
        <v>2562</v>
      </c>
      <c r="O401" s="10" t="s">
        <v>2562</v>
      </c>
      <c r="P401" s="11">
        <v>7376.0</v>
      </c>
      <c r="Q401" s="11">
        <v>9995.0</v>
      </c>
      <c r="R401" s="11">
        <v>5.0</v>
      </c>
      <c r="S401" s="10"/>
      <c r="T401" s="10"/>
      <c r="U401" s="10"/>
      <c r="V401" s="10"/>
      <c r="W401" s="10"/>
      <c r="X401" s="10"/>
      <c r="Y401" s="10"/>
    </row>
    <row r="402">
      <c r="A402" s="10" t="s">
        <v>2563</v>
      </c>
      <c r="B402" s="11">
        <v>920424.0</v>
      </c>
      <c r="C402" s="8" t="s">
        <v>20</v>
      </c>
      <c r="D402" s="9" t="s">
        <v>2564</v>
      </c>
      <c r="E402" s="10" t="s">
        <v>2565</v>
      </c>
      <c r="F402" s="11">
        <v>920424.0</v>
      </c>
      <c r="G402" s="10"/>
      <c r="H402" s="10" t="s">
        <v>2566</v>
      </c>
      <c r="I402" s="10" t="s">
        <v>2567</v>
      </c>
      <c r="J402" s="10" t="s">
        <v>2568</v>
      </c>
      <c r="K402" s="10" t="s">
        <v>2568</v>
      </c>
      <c r="L402" s="10" t="s">
        <v>2568</v>
      </c>
      <c r="M402" s="11">
        <v>1994.0</v>
      </c>
      <c r="N402" s="10" t="s">
        <v>2569</v>
      </c>
      <c r="O402" s="10" t="s">
        <v>2569</v>
      </c>
      <c r="P402" s="11">
        <v>6211.0</v>
      </c>
      <c r="Q402" s="11">
        <v>6211.0</v>
      </c>
      <c r="R402" s="11">
        <v>13.0</v>
      </c>
      <c r="S402" s="10"/>
      <c r="T402" s="10"/>
      <c r="U402" s="10"/>
      <c r="V402" s="10"/>
      <c r="W402" s="10"/>
      <c r="X402" s="10"/>
      <c r="Y402" s="10"/>
    </row>
    <row r="403">
      <c r="A403" s="10" t="s">
        <v>2570</v>
      </c>
      <c r="B403" s="11">
        <v>921557.0</v>
      </c>
      <c r="C403" s="10" t="s">
        <v>20</v>
      </c>
      <c r="D403" s="9" t="s">
        <v>2571</v>
      </c>
      <c r="E403" s="10" t="s">
        <v>2572</v>
      </c>
      <c r="F403" s="11">
        <v>921557.0</v>
      </c>
      <c r="G403" s="11">
        <v>921557.0</v>
      </c>
      <c r="H403" s="10" t="s">
        <v>2573</v>
      </c>
      <c r="I403" s="10" t="s">
        <v>2574</v>
      </c>
      <c r="J403" s="10" t="s">
        <v>2575</v>
      </c>
      <c r="K403" s="10" t="s">
        <v>2575</v>
      </c>
      <c r="L403" s="10" t="s">
        <v>2575</v>
      </c>
      <c r="M403" s="11">
        <v>1998.0</v>
      </c>
      <c r="N403" s="10" t="s">
        <v>2576</v>
      </c>
      <c r="O403" s="10" t="s">
        <v>2576</v>
      </c>
      <c r="P403" s="11">
        <v>6712.0</v>
      </c>
      <c r="Q403" s="11">
        <v>6020.0</v>
      </c>
      <c r="R403" s="11">
        <v>13.0</v>
      </c>
      <c r="S403" s="10"/>
      <c r="T403" s="10"/>
      <c r="U403" s="10"/>
      <c r="V403" s="10"/>
      <c r="W403" s="10"/>
      <c r="X403" s="10"/>
      <c r="Y403" s="10"/>
    </row>
    <row r="404">
      <c r="A404" s="10" t="s">
        <v>2577</v>
      </c>
      <c r="B404" s="11">
        <v>893573.0</v>
      </c>
      <c r="C404" s="10" t="s">
        <v>20</v>
      </c>
      <c r="D404" s="23" t="s">
        <v>2578</v>
      </c>
      <c r="E404" s="10"/>
      <c r="F404" s="10"/>
      <c r="G404" s="10"/>
      <c r="H404" s="10" t="s">
        <v>2579</v>
      </c>
      <c r="I404" s="10" t="s">
        <v>2580</v>
      </c>
      <c r="J404" s="10" t="s">
        <v>2581</v>
      </c>
      <c r="K404" s="10"/>
      <c r="L404" s="10" t="s">
        <v>2581</v>
      </c>
      <c r="M404" s="11">
        <v>1996.0</v>
      </c>
      <c r="N404" s="10"/>
      <c r="O404" s="10"/>
      <c r="P404" s="11">
        <v>7372.0</v>
      </c>
      <c r="Q404" s="10"/>
      <c r="R404" s="11">
        <v>7.5</v>
      </c>
      <c r="S404" s="10"/>
      <c r="T404" s="10"/>
      <c r="U404" s="10"/>
      <c r="V404" s="10"/>
      <c r="W404" s="10"/>
      <c r="X404" s="10"/>
      <c r="Y404" s="10"/>
    </row>
    <row r="405">
      <c r="A405" s="10" t="s">
        <v>2582</v>
      </c>
      <c r="B405" s="11">
        <v>1048044.0</v>
      </c>
      <c r="C405" s="10" t="s">
        <v>20</v>
      </c>
      <c r="D405" s="9" t="s">
        <v>2583</v>
      </c>
      <c r="E405" s="10" t="s">
        <v>2584</v>
      </c>
      <c r="F405" s="11">
        <v>1048044.0</v>
      </c>
      <c r="G405" s="10"/>
      <c r="H405" s="10" t="s">
        <v>2585</v>
      </c>
      <c r="I405" s="10" t="s">
        <v>2586</v>
      </c>
      <c r="J405" s="10" t="s">
        <v>2587</v>
      </c>
      <c r="K405" s="10" t="s">
        <v>2587</v>
      </c>
      <c r="L405" s="10" t="s">
        <v>2587</v>
      </c>
      <c r="M405" s="11">
        <v>1999.0</v>
      </c>
      <c r="N405" s="10" t="s">
        <v>226</v>
      </c>
      <c r="O405" s="10" t="s">
        <v>226</v>
      </c>
      <c r="P405" s="11">
        <v>7371.0</v>
      </c>
      <c r="Q405" s="11">
        <v>7372.0</v>
      </c>
      <c r="R405" s="11">
        <v>8.0</v>
      </c>
      <c r="S405" s="10"/>
      <c r="T405" s="10"/>
      <c r="U405" s="10"/>
      <c r="V405" s="10"/>
      <c r="W405" s="10"/>
      <c r="X405" s="10"/>
      <c r="Y405" s="10"/>
    </row>
    <row r="406">
      <c r="A406" s="10" t="s">
        <v>2588</v>
      </c>
      <c r="B406" s="11">
        <v>1453820.0</v>
      </c>
      <c r="C406" s="10" t="s">
        <v>20</v>
      </c>
      <c r="D406" s="9" t="s">
        <v>2589</v>
      </c>
      <c r="E406" s="10" t="s">
        <v>2590</v>
      </c>
      <c r="F406" s="11">
        <v>1453820.0</v>
      </c>
      <c r="G406" s="10"/>
      <c r="H406" s="10" t="s">
        <v>2591</v>
      </c>
      <c r="I406" s="10" t="s">
        <v>2592</v>
      </c>
      <c r="J406" s="10" t="s">
        <v>2593</v>
      </c>
      <c r="K406" s="10" t="s">
        <v>2593</v>
      </c>
      <c r="L406" s="10" t="s">
        <v>2593</v>
      </c>
      <c r="M406" s="11">
        <v>2009.0</v>
      </c>
      <c r="N406" s="10" t="s">
        <v>2594</v>
      </c>
      <c r="O406" s="10" t="s">
        <v>2594</v>
      </c>
      <c r="P406" s="11">
        <v>6331.0</v>
      </c>
      <c r="Q406" s="11">
        <v>6331.0</v>
      </c>
      <c r="R406" s="11">
        <v>10.0</v>
      </c>
      <c r="S406" s="10"/>
      <c r="T406" s="10"/>
      <c r="U406" s="10"/>
      <c r="V406" s="10"/>
      <c r="W406" s="10"/>
      <c r="X406" s="10"/>
      <c r="Y406" s="10"/>
    </row>
    <row r="407">
      <c r="A407" s="10" t="s">
        <v>2595</v>
      </c>
      <c r="B407" s="11">
        <v>919482.0</v>
      </c>
      <c r="C407" s="10" t="s">
        <v>20</v>
      </c>
      <c r="D407" s="9" t="s">
        <v>2596</v>
      </c>
      <c r="E407" s="10"/>
      <c r="F407" s="10"/>
      <c r="G407" s="10"/>
      <c r="H407" s="10" t="s">
        <v>2597</v>
      </c>
      <c r="I407" s="10" t="s">
        <v>2598</v>
      </c>
      <c r="J407" s="10" t="s">
        <v>2599</v>
      </c>
      <c r="K407" s="10"/>
      <c r="L407" s="10" t="s">
        <v>2600</v>
      </c>
      <c r="M407" s="11">
        <v>2002.0</v>
      </c>
      <c r="N407" s="10"/>
      <c r="O407" s="10"/>
      <c r="P407" s="11">
        <v>6331.0</v>
      </c>
      <c r="Q407" s="10"/>
      <c r="R407" s="11">
        <v>18.5</v>
      </c>
      <c r="S407" s="10"/>
      <c r="T407" s="10"/>
      <c r="U407" s="10"/>
      <c r="V407" s="10"/>
      <c r="W407" s="10"/>
      <c r="X407" s="10"/>
      <c r="Y407" s="10"/>
    </row>
    <row r="408">
      <c r="A408" s="10" t="s">
        <v>2601</v>
      </c>
      <c r="B408" s="11">
        <v>851729.0</v>
      </c>
      <c r="C408" s="10" t="s">
        <v>20</v>
      </c>
      <c r="D408" s="9" t="s">
        <v>2602</v>
      </c>
      <c r="E408" s="10" t="s">
        <v>2603</v>
      </c>
      <c r="F408" s="11">
        <v>851729.0</v>
      </c>
      <c r="G408" s="10"/>
      <c r="H408" s="10" t="s">
        <v>2604</v>
      </c>
      <c r="I408" s="10" t="s">
        <v>2605</v>
      </c>
      <c r="J408" s="10" t="s">
        <v>2606</v>
      </c>
      <c r="K408" s="10" t="s">
        <v>2607</v>
      </c>
      <c r="L408" s="10" t="s">
        <v>2606</v>
      </c>
      <c r="M408" s="11">
        <v>1995.0</v>
      </c>
      <c r="N408" s="10" t="s">
        <v>2608</v>
      </c>
      <c r="O408" s="10" t="s">
        <v>2608</v>
      </c>
      <c r="P408" s="11">
        <v>7373.0</v>
      </c>
      <c r="Q408" s="11">
        <v>3845.0</v>
      </c>
      <c r="R408" s="11">
        <v>11.0</v>
      </c>
      <c r="S408" s="10"/>
      <c r="T408" s="10"/>
      <c r="U408" s="10"/>
      <c r="V408" s="10"/>
      <c r="W408" s="10"/>
      <c r="X408" s="10"/>
      <c r="Y408" s="10"/>
    </row>
    <row r="409">
      <c r="A409" s="10" t="s">
        <v>2609</v>
      </c>
      <c r="B409" s="11">
        <v>1577670.0</v>
      </c>
      <c r="C409" s="10" t="s">
        <v>20</v>
      </c>
      <c r="D409" s="9" t="s">
        <v>2610</v>
      </c>
      <c r="E409" s="10" t="s">
        <v>2611</v>
      </c>
      <c r="F409" s="11">
        <v>1577670.0</v>
      </c>
      <c r="G409" s="11">
        <v>1577670.0</v>
      </c>
      <c r="H409" s="10" t="s">
        <v>2612</v>
      </c>
      <c r="I409" s="10" t="s">
        <v>2613</v>
      </c>
      <c r="J409" s="10" t="s">
        <v>2614</v>
      </c>
      <c r="K409" s="10" t="s">
        <v>2614</v>
      </c>
      <c r="L409" s="10" t="s">
        <v>2614</v>
      </c>
      <c r="M409" s="11">
        <v>2014.0</v>
      </c>
      <c r="N409" s="10" t="s">
        <v>2615</v>
      </c>
      <c r="O409" s="10" t="s">
        <v>2615</v>
      </c>
      <c r="P409" s="11">
        <v>6519.0</v>
      </c>
      <c r="Q409" s="11">
        <v>6798.0</v>
      </c>
      <c r="R409" s="11">
        <v>17.0</v>
      </c>
      <c r="S409" s="10"/>
      <c r="T409" s="10"/>
      <c r="U409" s="10"/>
      <c r="V409" s="10"/>
      <c r="W409" s="10"/>
      <c r="X409" s="10"/>
      <c r="Y409" s="10"/>
    </row>
    <row r="410">
      <c r="A410" s="10" t="s">
        <v>2616</v>
      </c>
      <c r="B410" s="11">
        <v>1587221.0</v>
      </c>
      <c r="C410" s="10" t="s">
        <v>20</v>
      </c>
      <c r="D410" s="9" t="s">
        <v>2617</v>
      </c>
      <c r="E410" s="10" t="s">
        <v>2618</v>
      </c>
      <c r="F410" s="11">
        <v>1587221.0</v>
      </c>
      <c r="G410" s="10"/>
      <c r="H410" s="10" t="s">
        <v>2619</v>
      </c>
      <c r="I410" s="10" t="s">
        <v>2620</v>
      </c>
      <c r="J410" s="10" t="s">
        <v>2621</v>
      </c>
      <c r="K410" s="10" t="s">
        <v>2622</v>
      </c>
      <c r="L410" s="10" t="s">
        <v>2621</v>
      </c>
      <c r="M410" s="11">
        <v>2015.0</v>
      </c>
      <c r="N410" s="10" t="s">
        <v>2623</v>
      </c>
      <c r="O410" s="10" t="s">
        <v>2623</v>
      </c>
      <c r="P410" s="11">
        <v>8731.0</v>
      </c>
      <c r="Q410" s="11">
        <v>2834.0</v>
      </c>
      <c r="R410" s="11">
        <v>11.0</v>
      </c>
      <c r="S410" s="10"/>
      <c r="T410" s="10"/>
      <c r="U410" s="10"/>
      <c r="V410" s="10"/>
      <c r="W410" s="10"/>
      <c r="X410" s="10"/>
      <c r="Y410" s="10"/>
    </row>
    <row r="411">
      <c r="A411" s="10" t="s">
        <v>2624</v>
      </c>
      <c r="B411" s="11">
        <v>1618732.0</v>
      </c>
      <c r="C411" s="8" t="s">
        <v>762</v>
      </c>
      <c r="D411" s="9" t="s">
        <v>2625</v>
      </c>
      <c r="E411" s="10" t="s">
        <v>2626</v>
      </c>
      <c r="F411" s="11">
        <v>1618732.0</v>
      </c>
      <c r="G411" s="11">
        <v>1618732.0</v>
      </c>
      <c r="H411" s="10" t="s">
        <v>2627</v>
      </c>
      <c r="I411" s="10" t="s">
        <v>2628</v>
      </c>
      <c r="J411" s="10" t="s">
        <v>2629</v>
      </c>
      <c r="K411" s="10" t="s">
        <v>2629</v>
      </c>
      <c r="L411" s="10" t="s">
        <v>2629</v>
      </c>
      <c r="M411" s="11">
        <v>2016.0</v>
      </c>
      <c r="N411" s="10" t="s">
        <v>2630</v>
      </c>
      <c r="O411" s="10" t="s">
        <v>2630</v>
      </c>
      <c r="P411" s="11">
        <v>7372.0</v>
      </c>
      <c r="Q411" s="11">
        <v>7370.0</v>
      </c>
      <c r="R411" s="11">
        <v>16.0</v>
      </c>
      <c r="S411" s="10"/>
      <c r="T411" s="10"/>
      <c r="U411" s="10"/>
      <c r="V411" s="10"/>
      <c r="W411" s="10"/>
      <c r="X411" s="10"/>
      <c r="Y411" s="10"/>
    </row>
    <row r="412">
      <c r="A412" s="10" t="s">
        <v>2631</v>
      </c>
      <c r="B412" s="11">
        <v>1105360.0</v>
      </c>
      <c r="C412" s="10" t="s">
        <v>20</v>
      </c>
      <c r="D412" s="9" t="s">
        <v>2632</v>
      </c>
      <c r="E412" s="10" t="s">
        <v>2633</v>
      </c>
      <c r="F412" s="11">
        <v>1105360.0</v>
      </c>
      <c r="G412" s="10"/>
      <c r="H412" s="10" t="s">
        <v>2634</v>
      </c>
      <c r="I412" s="10" t="s">
        <v>2635</v>
      </c>
      <c r="J412" s="10" t="s">
        <v>2636</v>
      </c>
      <c r="K412" s="10" t="s">
        <v>2636</v>
      </c>
      <c r="L412" s="10" t="s">
        <v>2636</v>
      </c>
      <c r="M412" s="11">
        <v>2007.0</v>
      </c>
      <c r="N412" s="10" t="s">
        <v>2637</v>
      </c>
      <c r="O412" s="10" t="s">
        <v>2637</v>
      </c>
      <c r="P412" s="11">
        <v>7372.0</v>
      </c>
      <c r="Q412" s="11">
        <v>7370.0</v>
      </c>
      <c r="R412" s="11">
        <v>10.5</v>
      </c>
      <c r="S412" s="10"/>
      <c r="T412" s="10"/>
      <c r="U412" s="10"/>
      <c r="V412" s="10"/>
      <c r="W412" s="10"/>
      <c r="X412" s="10"/>
      <c r="Y412" s="10"/>
    </row>
    <row r="413">
      <c r="A413" s="10" t="s">
        <v>2638</v>
      </c>
      <c r="B413" s="11">
        <v>1043446.0</v>
      </c>
      <c r="C413" s="10" t="s">
        <v>20</v>
      </c>
      <c r="D413" s="9" t="s">
        <v>2639</v>
      </c>
      <c r="E413" s="10" t="s">
        <v>2640</v>
      </c>
      <c r="F413" s="11">
        <v>1043446.0</v>
      </c>
      <c r="G413" s="10"/>
      <c r="H413" s="10" t="s">
        <v>2641</v>
      </c>
      <c r="I413" s="10" t="s">
        <v>2642</v>
      </c>
      <c r="J413" s="10" t="s">
        <v>2643</v>
      </c>
      <c r="K413" s="10" t="s">
        <v>2643</v>
      </c>
      <c r="L413" s="10" t="s">
        <v>2643</v>
      </c>
      <c r="M413" s="11">
        <v>1997.0</v>
      </c>
      <c r="N413" s="10" t="s">
        <v>2077</v>
      </c>
      <c r="O413" s="10" t="s">
        <v>2077</v>
      </c>
      <c r="P413" s="11">
        <v>6022.0</v>
      </c>
      <c r="Q413" s="11">
        <v>6020.0</v>
      </c>
      <c r="R413" s="11">
        <v>17.5</v>
      </c>
      <c r="S413" s="10"/>
      <c r="T413" s="10"/>
      <c r="U413" s="10"/>
      <c r="V413" s="10"/>
      <c r="W413" s="10"/>
      <c r="X413" s="10"/>
      <c r="Y413" s="10"/>
    </row>
    <row r="414">
      <c r="A414" s="10" t="s">
        <v>2644</v>
      </c>
      <c r="B414" s="11">
        <v>1007083.0</v>
      </c>
      <c r="C414" s="10" t="s">
        <v>20</v>
      </c>
      <c r="D414" s="9" t="s">
        <v>2645</v>
      </c>
      <c r="E414" s="10" t="s">
        <v>2646</v>
      </c>
      <c r="F414" s="11">
        <v>1007083.0</v>
      </c>
      <c r="G414" s="10"/>
      <c r="H414" s="10" t="s">
        <v>2647</v>
      </c>
      <c r="I414" s="10" t="s">
        <v>2648</v>
      </c>
      <c r="J414" s="10"/>
      <c r="K414" s="10" t="s">
        <v>2649</v>
      </c>
      <c r="L414" s="10"/>
      <c r="M414" s="11">
        <v>1996.0</v>
      </c>
      <c r="N414" s="10" t="s">
        <v>2650</v>
      </c>
      <c r="O414" s="10" t="s">
        <v>2650</v>
      </c>
      <c r="P414" s="11">
        <v>8732.0</v>
      </c>
      <c r="Q414" s="11">
        <v>7370.0</v>
      </c>
      <c r="R414" s="11">
        <v>17.0</v>
      </c>
      <c r="S414" s="10"/>
      <c r="T414" s="10"/>
      <c r="U414" s="10"/>
      <c r="V414" s="10"/>
      <c r="W414" s="10"/>
      <c r="X414" s="10"/>
      <c r="Y414" s="10"/>
    </row>
    <row r="415">
      <c r="A415" s="10" t="s">
        <v>2651</v>
      </c>
      <c r="B415" s="11">
        <v>1807120.0</v>
      </c>
      <c r="C415" s="10" t="s">
        <v>20</v>
      </c>
      <c r="D415" s="9" t="s">
        <v>2652</v>
      </c>
      <c r="E415" s="10" t="s">
        <v>2653</v>
      </c>
      <c r="F415" s="11">
        <v>1807120.0</v>
      </c>
      <c r="G415" s="11">
        <v>1807120.0</v>
      </c>
      <c r="H415" s="10" t="s">
        <v>2654</v>
      </c>
      <c r="I415" s="10" t="s">
        <v>2655</v>
      </c>
      <c r="J415" s="10" t="s">
        <v>2656</v>
      </c>
      <c r="K415" s="10" t="s">
        <v>2656</v>
      </c>
      <c r="L415" s="10" t="s">
        <v>2656</v>
      </c>
      <c r="M415" s="11">
        <v>2021.0</v>
      </c>
      <c r="N415" s="10" t="s">
        <v>2657</v>
      </c>
      <c r="O415" s="10" t="s">
        <v>2657</v>
      </c>
      <c r="P415" s="11">
        <v>8731.0</v>
      </c>
      <c r="Q415" s="11">
        <v>2836.0</v>
      </c>
      <c r="R415" s="11">
        <v>19.0</v>
      </c>
      <c r="S415" s="10"/>
      <c r="T415" s="10"/>
      <c r="U415" s="10"/>
      <c r="V415" s="10"/>
      <c r="W415" s="10"/>
      <c r="X415" s="10"/>
      <c r="Y415" s="10"/>
    </row>
    <row r="416">
      <c r="A416" s="10" t="s">
        <v>2658</v>
      </c>
      <c r="B416" s="11">
        <v>1018525.0</v>
      </c>
      <c r="C416" s="8" t="s">
        <v>762</v>
      </c>
      <c r="D416" s="9" t="s">
        <v>2659</v>
      </c>
      <c r="E416" s="10" t="s">
        <v>2660</v>
      </c>
      <c r="F416" s="11">
        <v>1018525.0</v>
      </c>
      <c r="G416" s="10"/>
      <c r="H416" s="10" t="s">
        <v>2661</v>
      </c>
      <c r="I416" s="10" t="s">
        <v>2662</v>
      </c>
      <c r="J416" s="10" t="s">
        <v>2663</v>
      </c>
      <c r="K416" s="10" t="s">
        <v>2663</v>
      </c>
      <c r="L416" s="10" t="s">
        <v>2664</v>
      </c>
      <c r="M416" s="11">
        <v>1996.0</v>
      </c>
      <c r="N416" s="10" t="s">
        <v>2665</v>
      </c>
      <c r="O416" s="10" t="s">
        <v>2665</v>
      </c>
      <c r="P416" s="11">
        <v>7373.0</v>
      </c>
      <c r="Q416" s="11">
        <v>7373.0</v>
      </c>
      <c r="R416" s="11">
        <v>15.0</v>
      </c>
      <c r="S416" s="10"/>
      <c r="T416" s="10"/>
      <c r="U416" s="10"/>
      <c r="V416" s="10"/>
      <c r="W416" s="10"/>
      <c r="X416" s="10"/>
      <c r="Y416" s="10"/>
    </row>
    <row r="417">
      <c r="A417" s="10" t="s">
        <v>2666</v>
      </c>
      <c r="B417" s="11">
        <v>1013467.0</v>
      </c>
      <c r="C417" s="10" t="s">
        <v>20</v>
      </c>
      <c r="D417" s="9" t="s">
        <v>2667</v>
      </c>
      <c r="E417" s="10" t="s">
        <v>2668</v>
      </c>
      <c r="F417" s="11">
        <v>1013467.0</v>
      </c>
      <c r="G417" s="10"/>
      <c r="H417" s="10" t="s">
        <v>2669</v>
      </c>
      <c r="I417" s="10" t="s">
        <v>2670</v>
      </c>
      <c r="J417" s="10" t="s">
        <v>2671</v>
      </c>
      <c r="K417" s="10" t="s">
        <v>2672</v>
      </c>
      <c r="L417" s="10" t="s">
        <v>2671</v>
      </c>
      <c r="M417" s="11">
        <v>1996.0</v>
      </c>
      <c r="N417" s="10" t="s">
        <v>2673</v>
      </c>
      <c r="O417" s="10" t="s">
        <v>2673</v>
      </c>
      <c r="P417" s="11">
        <v>7363.0</v>
      </c>
      <c r="Q417" s="11">
        <v>7363.0</v>
      </c>
      <c r="R417" s="11">
        <v>13.0</v>
      </c>
      <c r="S417" s="10"/>
      <c r="T417" s="10"/>
      <c r="U417" s="10"/>
      <c r="V417" s="10"/>
      <c r="W417" s="10"/>
      <c r="X417" s="10"/>
      <c r="Y417" s="10"/>
    </row>
    <row r="418">
      <c r="A418" s="10" t="s">
        <v>2674</v>
      </c>
      <c r="B418" s="11">
        <v>1299688.0</v>
      </c>
      <c r="C418" s="10" t="s">
        <v>749</v>
      </c>
      <c r="D418" s="9" t="s">
        <v>2675</v>
      </c>
      <c r="E418" s="10" t="s">
        <v>2676</v>
      </c>
      <c r="F418" s="11">
        <v>1299688.0</v>
      </c>
      <c r="G418" s="10"/>
      <c r="H418" s="10" t="s">
        <v>2677</v>
      </c>
      <c r="I418" s="10" t="s">
        <v>2678</v>
      </c>
      <c r="J418" s="10" t="s">
        <v>2679</v>
      </c>
      <c r="K418" s="10" t="s">
        <v>2679</v>
      </c>
      <c r="L418" s="10" t="s">
        <v>2679</v>
      </c>
      <c r="M418" s="11">
        <v>2005.0</v>
      </c>
      <c r="N418" s="10" t="s">
        <v>2680</v>
      </c>
      <c r="O418" s="10" t="s">
        <v>2680</v>
      </c>
      <c r="P418" s="11">
        <v>6211.0</v>
      </c>
      <c r="Q418" s="11">
        <v>6211.0</v>
      </c>
      <c r="R418" s="11">
        <v>16.5</v>
      </c>
      <c r="S418" s="10"/>
      <c r="T418" s="10"/>
      <c r="U418" s="10"/>
      <c r="V418" s="10"/>
      <c r="W418" s="10"/>
      <c r="X418" s="10"/>
      <c r="Y418" s="10"/>
    </row>
    <row r="419">
      <c r="A419" s="10" t="s">
        <v>2681</v>
      </c>
      <c r="B419" s="11">
        <v>1099674.0</v>
      </c>
      <c r="C419" s="10" t="s">
        <v>20</v>
      </c>
      <c r="D419" s="9" t="s">
        <v>2682</v>
      </c>
      <c r="E419" s="10"/>
      <c r="F419" s="10"/>
      <c r="G419" s="10"/>
      <c r="H419" s="10" t="s">
        <v>2683</v>
      </c>
      <c r="I419" s="10" t="s">
        <v>2684</v>
      </c>
      <c r="J419" s="10" t="s">
        <v>2685</v>
      </c>
      <c r="K419" s="10"/>
      <c r="L419" s="10" t="s">
        <v>2685</v>
      </c>
      <c r="M419" s="11">
        <v>2000.0</v>
      </c>
      <c r="N419" s="10"/>
      <c r="O419" s="10"/>
      <c r="P419" s="11">
        <v>7375.0</v>
      </c>
      <c r="Q419" s="10"/>
      <c r="R419" s="11">
        <v>10.0</v>
      </c>
      <c r="S419" s="10"/>
      <c r="T419" s="10"/>
      <c r="U419" s="10"/>
      <c r="V419" s="10"/>
      <c r="W419" s="10"/>
      <c r="X419" s="10"/>
      <c r="Y419" s="10"/>
    </row>
    <row r="420">
      <c r="A420" s="10" t="s">
        <v>2686</v>
      </c>
      <c r="B420" s="11">
        <v>1576885.0</v>
      </c>
      <c r="C420" s="10" t="s">
        <v>20</v>
      </c>
      <c r="D420" s="9" t="s">
        <v>2687</v>
      </c>
      <c r="E420" s="10" t="s">
        <v>2688</v>
      </c>
      <c r="F420" s="11">
        <v>1576885.0</v>
      </c>
      <c r="G420" s="11">
        <v>1576885.0</v>
      </c>
      <c r="H420" s="10" t="s">
        <v>2689</v>
      </c>
      <c r="I420" s="10" t="s">
        <v>2690</v>
      </c>
      <c r="J420" s="10" t="s">
        <v>2691</v>
      </c>
      <c r="K420" s="10" t="s">
        <v>2691</v>
      </c>
      <c r="L420" s="10" t="s">
        <v>2691</v>
      </c>
      <c r="M420" s="11">
        <v>2021.0</v>
      </c>
      <c r="N420" s="10" t="s">
        <v>628</v>
      </c>
      <c r="O420" s="10" t="s">
        <v>628</v>
      </c>
      <c r="P420" s="11">
        <v>8731.0</v>
      </c>
      <c r="Q420" s="11">
        <v>2836.0</v>
      </c>
      <c r="R420" s="11">
        <v>16.0</v>
      </c>
      <c r="S420" s="10"/>
      <c r="T420" s="10"/>
      <c r="U420" s="10"/>
      <c r="V420" s="10"/>
      <c r="W420" s="10"/>
      <c r="X420" s="10"/>
      <c r="Y420" s="10"/>
    </row>
    <row r="421">
      <c r="A421" s="10" t="s">
        <v>2692</v>
      </c>
      <c r="B421" s="11">
        <v>1086222.0</v>
      </c>
      <c r="C421" s="8" t="s">
        <v>762</v>
      </c>
      <c r="D421" s="9" t="s">
        <v>2693</v>
      </c>
      <c r="E421" s="10" t="s">
        <v>2694</v>
      </c>
      <c r="F421" s="11">
        <v>1086222.0</v>
      </c>
      <c r="G421" s="11">
        <v>1086222.0</v>
      </c>
      <c r="H421" s="10" t="s">
        <v>2695</v>
      </c>
      <c r="I421" s="10" t="s">
        <v>2696</v>
      </c>
      <c r="J421" s="10" t="s">
        <v>2697</v>
      </c>
      <c r="K421" s="10" t="s">
        <v>2697</v>
      </c>
      <c r="L421" s="10" t="s">
        <v>2697</v>
      </c>
      <c r="M421" s="11">
        <v>1999.0</v>
      </c>
      <c r="N421" s="10" t="s">
        <v>2698</v>
      </c>
      <c r="O421" s="10" t="s">
        <v>2698</v>
      </c>
      <c r="P421" s="11">
        <v>7389.0</v>
      </c>
      <c r="Q421" s="11">
        <v>7370.0</v>
      </c>
      <c r="R421" s="11">
        <v>26.0</v>
      </c>
      <c r="S421" s="10"/>
      <c r="T421" s="10"/>
      <c r="U421" s="10"/>
      <c r="V421" s="10"/>
      <c r="W421" s="10"/>
      <c r="X421" s="10"/>
      <c r="Y421" s="10"/>
    </row>
    <row r="422">
      <c r="A422" s="10" t="s">
        <v>2699</v>
      </c>
      <c r="B422" s="11">
        <v>1104349.0</v>
      </c>
      <c r="C422" s="10" t="s">
        <v>20</v>
      </c>
      <c r="D422" s="9" t="s">
        <v>2700</v>
      </c>
      <c r="E422" s="10" t="s">
        <v>2701</v>
      </c>
      <c r="F422" s="11">
        <v>1104349.0</v>
      </c>
      <c r="G422" s="10"/>
      <c r="H422" s="10" t="s">
        <v>2702</v>
      </c>
      <c r="I422" s="10" t="s">
        <v>2703</v>
      </c>
      <c r="J422" s="10" t="s">
        <v>2704</v>
      </c>
      <c r="K422" s="10" t="s">
        <v>2704</v>
      </c>
      <c r="L422" s="10" t="s">
        <v>2704</v>
      </c>
      <c r="M422" s="11">
        <v>2006.0</v>
      </c>
      <c r="N422" s="10" t="s">
        <v>2705</v>
      </c>
      <c r="O422" s="10" t="s">
        <v>2705</v>
      </c>
      <c r="P422" s="11">
        <v>7375.0</v>
      </c>
      <c r="Q422" s="11">
        <v>8200.0</v>
      </c>
      <c r="R422" s="11">
        <v>20.0</v>
      </c>
      <c r="S422" s="10"/>
      <c r="T422" s="10"/>
      <c r="U422" s="10"/>
      <c r="V422" s="10"/>
      <c r="W422" s="10"/>
      <c r="X422" s="10"/>
      <c r="Y422" s="10"/>
    </row>
    <row r="423">
      <c r="A423" s="10" t="s">
        <v>2706</v>
      </c>
      <c r="B423" s="11">
        <v>1042799.0</v>
      </c>
      <c r="C423" s="8" t="s">
        <v>762</v>
      </c>
      <c r="D423" s="9" t="s">
        <v>2707</v>
      </c>
      <c r="E423" s="10"/>
      <c r="F423" s="10"/>
      <c r="G423" s="10"/>
      <c r="H423" s="10" t="s">
        <v>2708</v>
      </c>
      <c r="I423" s="10" t="s">
        <v>2709</v>
      </c>
      <c r="J423" s="10" t="s">
        <v>2710</v>
      </c>
      <c r="K423" s="10"/>
      <c r="L423" s="10" t="s">
        <v>2710</v>
      </c>
      <c r="M423" s="11">
        <v>1998.0</v>
      </c>
      <c r="N423" s="10"/>
      <c r="O423" s="10"/>
      <c r="P423" s="11">
        <v>7379.0</v>
      </c>
      <c r="Q423" s="10"/>
      <c r="R423" s="11">
        <v>13.0</v>
      </c>
      <c r="S423" s="10"/>
      <c r="T423" s="10"/>
      <c r="U423" s="10"/>
      <c r="V423" s="10"/>
      <c r="W423" s="10"/>
      <c r="X423" s="10"/>
      <c r="Y423" s="10"/>
    </row>
    <row r="424">
      <c r="A424" s="10" t="s">
        <v>2711</v>
      </c>
      <c r="B424" s="11">
        <v>1410703.0</v>
      </c>
      <c r="C424" s="10" t="s">
        <v>20</v>
      </c>
      <c r="D424" s="9" t="s">
        <v>2712</v>
      </c>
      <c r="E424" s="10" t="s">
        <v>2713</v>
      </c>
      <c r="F424" s="11">
        <v>1410703.0</v>
      </c>
      <c r="G424" s="10"/>
      <c r="H424" s="10" t="s">
        <v>2714</v>
      </c>
      <c r="I424" s="10" t="s">
        <v>2715</v>
      </c>
      <c r="J424" s="10" t="s">
        <v>2716</v>
      </c>
      <c r="K424" s="10" t="s">
        <v>2716</v>
      </c>
      <c r="L424" s="10" t="s">
        <v>2716</v>
      </c>
      <c r="M424" s="11">
        <v>2007.0</v>
      </c>
      <c r="N424" s="10" t="s">
        <v>2717</v>
      </c>
      <c r="O424" s="10" t="s">
        <v>2717</v>
      </c>
      <c r="P424" s="11">
        <v>6035.0</v>
      </c>
      <c r="Q424" s="11">
        <v>6036.0</v>
      </c>
      <c r="R424" s="11">
        <v>9.81</v>
      </c>
      <c r="S424" s="10"/>
      <c r="T424" s="10"/>
      <c r="U424" s="10"/>
      <c r="V424" s="10"/>
      <c r="W424" s="10"/>
      <c r="X424" s="10"/>
      <c r="Y424" s="10"/>
    </row>
    <row r="425">
      <c r="A425" s="10" t="s">
        <v>2718</v>
      </c>
      <c r="B425" s="11">
        <v>1052773.0</v>
      </c>
      <c r="C425" s="8" t="s">
        <v>762</v>
      </c>
      <c r="D425" s="9" t="s">
        <v>2719</v>
      </c>
      <c r="E425" s="10"/>
      <c r="F425" s="10"/>
      <c r="G425" s="10"/>
      <c r="H425" s="10" t="s">
        <v>2720</v>
      </c>
      <c r="I425" s="10" t="s">
        <v>2721</v>
      </c>
      <c r="J425" s="10" t="s">
        <v>2722</v>
      </c>
      <c r="K425" s="10"/>
      <c r="L425" s="10" t="s">
        <v>2722</v>
      </c>
      <c r="M425" s="11">
        <v>1998.0</v>
      </c>
      <c r="N425" s="10"/>
      <c r="O425" s="10"/>
      <c r="P425" s="11">
        <v>7379.0</v>
      </c>
      <c r="Q425" s="10"/>
      <c r="R425" s="11">
        <v>13.0</v>
      </c>
      <c r="S425" s="10"/>
      <c r="T425" s="10"/>
      <c r="U425" s="10"/>
      <c r="V425" s="10"/>
      <c r="W425" s="10"/>
      <c r="X425" s="10"/>
      <c r="Y425" s="10"/>
    </row>
    <row r="426">
      <c r="A426" s="10" t="s">
        <v>2723</v>
      </c>
      <c r="B426" s="11">
        <v>1582961.0</v>
      </c>
      <c r="C426" s="8" t="s">
        <v>762</v>
      </c>
      <c r="D426" s="9" t="s">
        <v>2724</v>
      </c>
      <c r="E426" s="10" t="s">
        <v>2725</v>
      </c>
      <c r="F426" s="11">
        <v>1582961.0</v>
      </c>
      <c r="G426" s="11">
        <v>1582961.0</v>
      </c>
      <c r="H426" s="10" t="s">
        <v>2726</v>
      </c>
      <c r="I426" s="10" t="s">
        <v>2727</v>
      </c>
      <c r="J426" s="10" t="s">
        <v>2728</v>
      </c>
      <c r="K426" s="10" t="s">
        <v>2728</v>
      </c>
      <c r="L426" s="10" t="s">
        <v>2728</v>
      </c>
      <c r="M426" s="11">
        <v>2021.0</v>
      </c>
      <c r="N426" s="10" t="s">
        <v>2729</v>
      </c>
      <c r="O426" s="10" t="s">
        <v>2729</v>
      </c>
      <c r="P426" s="11">
        <v>7376.0</v>
      </c>
      <c r="Q426" s="11">
        <v>7370.0</v>
      </c>
      <c r="R426" s="11">
        <v>47.0</v>
      </c>
      <c r="S426" s="10"/>
      <c r="T426" s="10"/>
      <c r="U426" s="10"/>
      <c r="V426" s="10"/>
      <c r="W426" s="10"/>
      <c r="X426" s="10"/>
      <c r="Y426" s="10"/>
    </row>
    <row r="427">
      <c r="A427" s="10" t="s">
        <v>2730</v>
      </c>
      <c r="B427" s="11">
        <v>1109546.0</v>
      </c>
      <c r="C427" s="10" t="s">
        <v>20</v>
      </c>
      <c r="D427" s="9" t="s">
        <v>2712</v>
      </c>
      <c r="E427" s="10" t="s">
        <v>2731</v>
      </c>
      <c r="F427" s="11">
        <v>1109546.0</v>
      </c>
      <c r="G427" s="10"/>
      <c r="H427" s="10" t="s">
        <v>2732</v>
      </c>
      <c r="I427" s="10" t="s">
        <v>2733</v>
      </c>
      <c r="J427" s="10" t="s">
        <v>2734</v>
      </c>
      <c r="K427" s="10" t="s">
        <v>2734</v>
      </c>
      <c r="L427" s="10" t="s">
        <v>2734</v>
      </c>
      <c r="M427" s="11">
        <v>2000.0</v>
      </c>
      <c r="N427" s="10" t="s">
        <v>2735</v>
      </c>
      <c r="O427" s="10" t="s">
        <v>2735</v>
      </c>
      <c r="P427" s="11">
        <v>6021.0</v>
      </c>
      <c r="Q427" s="11">
        <v>6020.0</v>
      </c>
      <c r="R427" s="11">
        <v>8.0</v>
      </c>
      <c r="S427" s="10"/>
      <c r="T427" s="10"/>
      <c r="U427" s="10"/>
      <c r="V427" s="10"/>
      <c r="W427" s="10"/>
      <c r="X427" s="10"/>
      <c r="Y427" s="10"/>
    </row>
    <row r="428">
      <c r="A428" s="10" t="s">
        <v>2736</v>
      </c>
      <c r="B428" s="11">
        <v>1393584.0</v>
      </c>
      <c r="C428" s="10" t="s">
        <v>20</v>
      </c>
      <c r="D428" s="9" t="s">
        <v>2737</v>
      </c>
      <c r="E428" s="10"/>
      <c r="F428" s="10"/>
      <c r="G428" s="11">
        <v>1393584.0</v>
      </c>
      <c r="H428" s="10" t="s">
        <v>2738</v>
      </c>
      <c r="I428" s="10" t="s">
        <v>2739</v>
      </c>
      <c r="J428" s="10" t="s">
        <v>2740</v>
      </c>
      <c r="K428" s="10"/>
      <c r="L428" s="10" t="s">
        <v>2740</v>
      </c>
      <c r="M428" s="11">
        <v>2020.0</v>
      </c>
      <c r="N428" s="10"/>
      <c r="O428" s="10"/>
      <c r="P428" s="11">
        <v>7372.0</v>
      </c>
      <c r="Q428" s="10"/>
      <c r="R428" s="11">
        <v>18.0</v>
      </c>
      <c r="S428" s="10"/>
      <c r="T428" s="10"/>
      <c r="U428" s="10"/>
      <c r="V428" s="10"/>
      <c r="W428" s="10"/>
      <c r="X428" s="10"/>
      <c r="Y428" s="10"/>
    </row>
    <row r="429">
      <c r="A429" s="10" t="s">
        <v>2741</v>
      </c>
      <c r="B429" s="11">
        <v>1568832.0</v>
      </c>
      <c r="C429" s="10" t="s">
        <v>20</v>
      </c>
      <c r="D429" s="9" t="s">
        <v>2742</v>
      </c>
      <c r="E429" s="10" t="s">
        <v>2743</v>
      </c>
      <c r="F429" s="11">
        <v>1568832.0</v>
      </c>
      <c r="G429" s="10"/>
      <c r="H429" s="10" t="s">
        <v>2744</v>
      </c>
      <c r="I429" s="10" t="s">
        <v>2745</v>
      </c>
      <c r="J429" s="10" t="s">
        <v>2746</v>
      </c>
      <c r="K429" s="10" t="s">
        <v>2747</v>
      </c>
      <c r="L429" s="10"/>
      <c r="M429" s="11">
        <v>2013.0</v>
      </c>
      <c r="N429" s="10" t="s">
        <v>2748</v>
      </c>
      <c r="O429" s="10" t="s">
        <v>2748</v>
      </c>
      <c r="P429" s="11">
        <v>6211.0</v>
      </c>
      <c r="Q429" s="11">
        <v>6282.0</v>
      </c>
      <c r="R429" s="11">
        <v>20.0</v>
      </c>
      <c r="S429" s="10"/>
      <c r="T429" s="10"/>
      <c r="U429" s="10"/>
      <c r="V429" s="10"/>
      <c r="W429" s="10"/>
      <c r="X429" s="10"/>
      <c r="Y429" s="10"/>
    </row>
    <row r="430">
      <c r="A430" s="10" t="s">
        <v>2749</v>
      </c>
      <c r="B430" s="11">
        <v>1001871.0</v>
      </c>
      <c r="C430" s="10" t="s">
        <v>20</v>
      </c>
      <c r="D430" s="9" t="s">
        <v>2750</v>
      </c>
      <c r="E430" s="10" t="s">
        <v>2751</v>
      </c>
      <c r="F430" s="11">
        <v>1001871.0</v>
      </c>
      <c r="G430" s="10"/>
      <c r="H430" s="10" t="s">
        <v>2752</v>
      </c>
      <c r="I430" s="10" t="s">
        <v>2753</v>
      </c>
      <c r="J430" s="10" t="s">
        <v>2754</v>
      </c>
      <c r="K430" s="10" t="s">
        <v>2754</v>
      </c>
      <c r="L430" s="10" t="s">
        <v>2754</v>
      </c>
      <c r="M430" s="11">
        <v>2001.0</v>
      </c>
      <c r="N430" s="10" t="s">
        <v>2755</v>
      </c>
      <c r="O430" s="10" t="s">
        <v>2755</v>
      </c>
      <c r="P430" s="11">
        <v>6799.0</v>
      </c>
      <c r="Q430" s="11">
        <v>6211.0</v>
      </c>
      <c r="R430" s="11">
        <v>8.0</v>
      </c>
      <c r="S430" s="10"/>
      <c r="T430" s="10"/>
      <c r="U430" s="10"/>
      <c r="V430" s="10"/>
      <c r="W430" s="10"/>
      <c r="X430" s="10"/>
      <c r="Y430" s="10"/>
    </row>
    <row r="431">
      <c r="A431" s="10" t="s">
        <v>2756</v>
      </c>
      <c r="B431" s="11">
        <v>944458.0</v>
      </c>
      <c r="C431" s="10" t="s">
        <v>20</v>
      </c>
      <c r="D431" s="9" t="s">
        <v>2757</v>
      </c>
      <c r="E431" s="10" t="s">
        <v>2758</v>
      </c>
      <c r="F431" s="11">
        <v>944458.0</v>
      </c>
      <c r="G431" s="10"/>
      <c r="H431" s="10" t="s">
        <v>2759</v>
      </c>
      <c r="I431" s="10" t="s">
        <v>2760</v>
      </c>
      <c r="J431" s="10" t="s">
        <v>2761</v>
      </c>
      <c r="K431" s="10" t="s">
        <v>2761</v>
      </c>
      <c r="L431" s="10" t="s">
        <v>2761</v>
      </c>
      <c r="M431" s="11">
        <v>1995.0</v>
      </c>
      <c r="N431" s="10" t="s">
        <v>2762</v>
      </c>
      <c r="O431" s="10" t="s">
        <v>2762</v>
      </c>
      <c r="P431" s="11">
        <v>7372.0</v>
      </c>
      <c r="Q431" s="11">
        <v>7372.0</v>
      </c>
      <c r="R431" s="11">
        <v>28.0</v>
      </c>
      <c r="S431" s="10"/>
      <c r="T431" s="10"/>
      <c r="U431" s="10"/>
      <c r="V431" s="10"/>
      <c r="W431" s="10"/>
      <c r="X431" s="10"/>
      <c r="Y431" s="10"/>
    </row>
    <row r="432">
      <c r="A432" s="10" t="s">
        <v>2763</v>
      </c>
      <c r="B432" s="11">
        <v>1079880.0</v>
      </c>
      <c r="C432" s="8" t="s">
        <v>762</v>
      </c>
      <c r="D432" s="9" t="s">
        <v>2764</v>
      </c>
      <c r="E432" s="10" t="s">
        <v>2765</v>
      </c>
      <c r="F432" s="11">
        <v>1079880.0</v>
      </c>
      <c r="G432" s="10"/>
      <c r="H432" s="10" t="s">
        <v>2766</v>
      </c>
      <c r="I432" s="10" t="s">
        <v>2767</v>
      </c>
      <c r="J432" s="10" t="s">
        <v>2768</v>
      </c>
      <c r="K432" s="10" t="s">
        <v>2768</v>
      </c>
      <c r="L432" s="10" t="s">
        <v>2768</v>
      </c>
      <c r="M432" s="11">
        <v>1999.0</v>
      </c>
      <c r="N432" s="10" t="s">
        <v>2769</v>
      </c>
      <c r="O432" s="10" t="s">
        <v>2769</v>
      </c>
      <c r="P432" s="11">
        <v>7375.0</v>
      </c>
      <c r="Q432" s="11">
        <v>7370.0</v>
      </c>
      <c r="R432" s="11">
        <v>12.0</v>
      </c>
      <c r="S432" s="10"/>
      <c r="T432" s="10"/>
      <c r="U432" s="10"/>
      <c r="V432" s="10"/>
      <c r="W432" s="10"/>
      <c r="X432" s="10"/>
      <c r="Y432" s="10"/>
    </row>
    <row r="433">
      <c r="A433" s="10" t="s">
        <v>2770</v>
      </c>
      <c r="B433" s="11">
        <v>1121980.0</v>
      </c>
      <c r="C433" s="10" t="s">
        <v>20</v>
      </c>
      <c r="D433" s="9" t="s">
        <v>2771</v>
      </c>
      <c r="E433" s="10" t="s">
        <v>2772</v>
      </c>
      <c r="F433" s="11">
        <v>1121980.0</v>
      </c>
      <c r="G433" s="10"/>
      <c r="H433" s="10" t="s">
        <v>2773</v>
      </c>
      <c r="I433" s="10" t="s">
        <v>2774</v>
      </c>
      <c r="J433" s="10" t="s">
        <v>2775</v>
      </c>
      <c r="K433" s="10" t="s">
        <v>2776</v>
      </c>
      <c r="L433" s="10" t="s">
        <v>2775</v>
      </c>
      <c r="M433" s="11">
        <v>2001.0</v>
      </c>
      <c r="N433" s="10"/>
      <c r="O433" s="10"/>
      <c r="P433" s="11">
        <v>7372.0</v>
      </c>
      <c r="Q433" s="11">
        <v>7372.0</v>
      </c>
      <c r="R433" s="11">
        <v>11.0</v>
      </c>
      <c r="S433" s="10"/>
      <c r="T433" s="10"/>
      <c r="U433" s="10"/>
      <c r="V433" s="10"/>
      <c r="W433" s="10"/>
      <c r="X433" s="10"/>
      <c r="Y433" s="10"/>
    </row>
    <row r="434">
      <c r="A434" s="10" t="s">
        <v>2777</v>
      </c>
      <c r="B434" s="11">
        <v>1821175.0</v>
      </c>
      <c r="C434" s="10" t="s">
        <v>20</v>
      </c>
      <c r="D434" s="9" t="s">
        <v>2778</v>
      </c>
      <c r="E434" s="10" t="s">
        <v>2779</v>
      </c>
      <c r="F434" s="11">
        <v>1821175.0</v>
      </c>
      <c r="G434" s="11">
        <v>1821175.0</v>
      </c>
      <c r="H434" s="10" t="s">
        <v>2780</v>
      </c>
      <c r="I434" s="10" t="s">
        <v>2781</v>
      </c>
      <c r="J434" s="10" t="s">
        <v>2782</v>
      </c>
      <c r="K434" s="10" t="s">
        <v>2782</v>
      </c>
      <c r="L434" s="10" t="s">
        <v>2783</v>
      </c>
      <c r="M434" s="11">
        <v>2021.0</v>
      </c>
      <c r="N434" s="10" t="s">
        <v>2784</v>
      </c>
      <c r="O434" s="10" t="s">
        <v>2784</v>
      </c>
      <c r="P434" s="11">
        <v>7372.0</v>
      </c>
      <c r="Q434" s="11">
        <v>7372.0</v>
      </c>
      <c r="R434" s="11">
        <v>20.0</v>
      </c>
      <c r="S434" s="10"/>
      <c r="T434" s="10"/>
      <c r="U434" s="10"/>
      <c r="V434" s="10"/>
      <c r="W434" s="10"/>
      <c r="X434" s="10"/>
      <c r="Y434" s="10"/>
    </row>
    <row r="435">
      <c r="A435" s="10" t="s">
        <v>2785</v>
      </c>
      <c r="B435" s="11">
        <v>1551739.0</v>
      </c>
      <c r="C435" s="10" t="s">
        <v>20</v>
      </c>
      <c r="D435" s="9" t="s">
        <v>2712</v>
      </c>
      <c r="E435" s="10" t="s">
        <v>2786</v>
      </c>
      <c r="F435" s="11">
        <v>1551739.0</v>
      </c>
      <c r="G435" s="10"/>
      <c r="H435" s="10" t="s">
        <v>1035</v>
      </c>
      <c r="I435" s="10" t="s">
        <v>2787</v>
      </c>
      <c r="J435" s="10" t="s">
        <v>2788</v>
      </c>
      <c r="K435" s="10" t="s">
        <v>2788</v>
      </c>
      <c r="L435" s="10" t="s">
        <v>2788</v>
      </c>
      <c r="M435" s="11">
        <v>2012.0</v>
      </c>
      <c r="N435" s="10" t="s">
        <v>2789</v>
      </c>
      <c r="O435" s="10" t="s">
        <v>2789</v>
      </c>
      <c r="P435" s="11">
        <v>6029.0</v>
      </c>
      <c r="Q435" s="11">
        <v>6035.0</v>
      </c>
      <c r="R435" s="11">
        <v>10.0</v>
      </c>
      <c r="S435" s="10"/>
      <c r="T435" s="10"/>
      <c r="U435" s="10"/>
      <c r="V435" s="10"/>
      <c r="W435" s="10"/>
      <c r="X435" s="10"/>
      <c r="Y435" s="10"/>
    </row>
    <row r="436">
      <c r="A436" s="10" t="s">
        <v>2790</v>
      </c>
      <c r="B436" s="11">
        <v>1005697.0</v>
      </c>
      <c r="C436" s="10" t="s">
        <v>20</v>
      </c>
      <c r="D436" s="9" t="s">
        <v>2791</v>
      </c>
      <c r="E436" s="10" t="s">
        <v>2792</v>
      </c>
      <c r="F436" s="11">
        <v>1005697.0</v>
      </c>
      <c r="G436" s="10"/>
      <c r="H436" s="10" t="s">
        <v>2793</v>
      </c>
      <c r="I436" s="10" t="s">
        <v>2794</v>
      </c>
      <c r="J436" s="10" t="s">
        <v>2795</v>
      </c>
      <c r="K436" s="10" t="s">
        <v>2795</v>
      </c>
      <c r="L436" s="10" t="s">
        <v>2795</v>
      </c>
      <c r="M436" s="11">
        <v>1996.0</v>
      </c>
      <c r="N436" s="10" t="s">
        <v>2796</v>
      </c>
      <c r="O436" s="10" t="s">
        <v>2796</v>
      </c>
      <c r="P436" s="11">
        <v>8742.0</v>
      </c>
      <c r="Q436" s="11">
        <v>7372.0</v>
      </c>
      <c r="R436" s="11">
        <v>13.0</v>
      </c>
      <c r="S436" s="10"/>
      <c r="T436" s="10"/>
      <c r="U436" s="10"/>
      <c r="V436" s="10"/>
      <c r="W436" s="10"/>
      <c r="X436" s="10"/>
      <c r="Y436" s="10"/>
    </row>
    <row r="437">
      <c r="A437" s="10" t="s">
        <v>2797</v>
      </c>
      <c r="B437" s="11">
        <v>1062157.0</v>
      </c>
      <c r="C437" s="10" t="s">
        <v>20</v>
      </c>
      <c r="D437" s="9" t="s">
        <v>2798</v>
      </c>
      <c r="E437" s="10" t="s">
        <v>2799</v>
      </c>
      <c r="F437" s="10"/>
      <c r="G437" s="10"/>
      <c r="H437" s="10" t="s">
        <v>2800</v>
      </c>
      <c r="I437" s="10" t="s">
        <v>2801</v>
      </c>
      <c r="J437" s="10" t="s">
        <v>2802</v>
      </c>
      <c r="K437" s="10" t="s">
        <v>2802</v>
      </c>
      <c r="L437" s="10" t="s">
        <v>2802</v>
      </c>
      <c r="M437" s="11">
        <v>1999.0</v>
      </c>
      <c r="N437" s="10" t="s">
        <v>2803</v>
      </c>
      <c r="O437" s="10" t="s">
        <v>2803</v>
      </c>
      <c r="P437" s="11">
        <v>7372.0</v>
      </c>
      <c r="Q437" s="11">
        <v>7372.0</v>
      </c>
      <c r="R437" s="11">
        <v>16.0</v>
      </c>
      <c r="S437" s="10"/>
      <c r="T437" s="10"/>
      <c r="U437" s="10"/>
      <c r="V437" s="10"/>
      <c r="W437" s="10"/>
      <c r="X437" s="10"/>
      <c r="Y437" s="10"/>
    </row>
    <row r="438">
      <c r="A438" s="10" t="s">
        <v>2804</v>
      </c>
      <c r="B438" s="11">
        <v>1023184.0</v>
      </c>
      <c r="C438" s="8" t="s">
        <v>762</v>
      </c>
      <c r="D438" s="9" t="s">
        <v>2805</v>
      </c>
      <c r="E438" s="10" t="s">
        <v>2806</v>
      </c>
      <c r="F438" s="11">
        <v>1023184.0</v>
      </c>
      <c r="G438" s="10"/>
      <c r="H438" s="10" t="s">
        <v>2807</v>
      </c>
      <c r="I438" s="10" t="s">
        <v>2808</v>
      </c>
      <c r="J438" s="10" t="s">
        <v>2809</v>
      </c>
      <c r="K438" s="10" t="s">
        <v>2809</v>
      </c>
      <c r="L438" s="10" t="s">
        <v>2809</v>
      </c>
      <c r="M438" s="11">
        <v>1996.0</v>
      </c>
      <c r="N438" s="10" t="s">
        <v>2810</v>
      </c>
      <c r="O438" s="10" t="s">
        <v>2810</v>
      </c>
      <c r="P438" s="11">
        <v>7372.0</v>
      </c>
      <c r="Q438" s="11">
        <v>7372.0</v>
      </c>
      <c r="R438" s="11">
        <v>12.0</v>
      </c>
      <c r="S438" s="10"/>
      <c r="T438" s="10"/>
      <c r="U438" s="10"/>
      <c r="V438" s="10"/>
      <c r="W438" s="10"/>
      <c r="X438" s="10"/>
      <c r="Y438" s="10"/>
    </row>
    <row r="439">
      <c r="A439" s="10" t="s">
        <v>2811</v>
      </c>
      <c r="B439" s="11">
        <v>1362004.0</v>
      </c>
      <c r="C439" s="8" t="s">
        <v>762</v>
      </c>
      <c r="D439" s="9" t="s">
        <v>2812</v>
      </c>
      <c r="E439" s="10" t="s">
        <v>2813</v>
      </c>
      <c r="F439" s="11">
        <v>1362004.0</v>
      </c>
      <c r="G439" s="11">
        <v>1362004.0</v>
      </c>
      <c r="H439" s="10" t="s">
        <v>2814</v>
      </c>
      <c r="I439" s="10" t="s">
        <v>2815</v>
      </c>
      <c r="J439" s="10" t="s">
        <v>2816</v>
      </c>
      <c r="K439" s="10" t="s">
        <v>2816</v>
      </c>
      <c r="L439" s="10" t="s">
        <v>2817</v>
      </c>
      <c r="M439" s="11">
        <v>2006.0</v>
      </c>
      <c r="N439" s="10" t="s">
        <v>2818</v>
      </c>
      <c r="O439" s="10" t="s">
        <v>2818</v>
      </c>
      <c r="P439" s="11">
        <v>8742.0</v>
      </c>
      <c r="Q439" s="11">
        <v>8742.0</v>
      </c>
      <c r="R439" s="11">
        <v>12.0</v>
      </c>
      <c r="S439" s="10"/>
      <c r="T439" s="10"/>
      <c r="U439" s="10"/>
      <c r="V439" s="10"/>
      <c r="W439" s="10"/>
      <c r="X439" s="10"/>
      <c r="Y439" s="10"/>
    </row>
    <row r="440">
      <c r="A440" s="10" t="s">
        <v>2819</v>
      </c>
      <c r="B440" s="11">
        <v>1841804.0</v>
      </c>
      <c r="C440" s="10" t="s">
        <v>20</v>
      </c>
      <c r="D440" s="9" t="s">
        <v>2820</v>
      </c>
      <c r="E440" s="10" t="s">
        <v>2821</v>
      </c>
      <c r="F440" s="11">
        <v>1841804.0</v>
      </c>
      <c r="G440" s="10"/>
      <c r="H440" s="10" t="s">
        <v>2822</v>
      </c>
      <c r="I440" s="10" t="s">
        <v>2823</v>
      </c>
      <c r="J440" s="10" t="s">
        <v>2824</v>
      </c>
      <c r="K440" s="10" t="s">
        <v>2824</v>
      </c>
      <c r="L440" s="10" t="s">
        <v>2824</v>
      </c>
      <c r="M440" s="11">
        <v>2021.0</v>
      </c>
      <c r="N440" s="10" t="s">
        <v>2825</v>
      </c>
      <c r="O440" s="10" t="s">
        <v>2825</v>
      </c>
      <c r="P440" s="11">
        <v>7372.0</v>
      </c>
      <c r="Q440" s="11">
        <v>7370.0</v>
      </c>
      <c r="R440" s="11">
        <v>20.0</v>
      </c>
      <c r="S440" s="10"/>
      <c r="T440" s="10"/>
      <c r="U440" s="10"/>
      <c r="V440" s="10"/>
      <c r="W440" s="10"/>
      <c r="X440" s="10"/>
      <c r="Y440" s="10"/>
    </row>
    <row r="441">
      <c r="A441" s="10" t="s">
        <v>2826</v>
      </c>
      <c r="B441" s="11">
        <v>1302177.0</v>
      </c>
      <c r="C441" s="10" t="s">
        <v>20</v>
      </c>
      <c r="D441" s="9" t="s">
        <v>2827</v>
      </c>
      <c r="E441" s="10" t="s">
        <v>2828</v>
      </c>
      <c r="F441" s="11">
        <v>1302177.0</v>
      </c>
      <c r="G441" s="10"/>
      <c r="H441" s="10" t="s">
        <v>2829</v>
      </c>
      <c r="I441" s="10" t="s">
        <v>2830</v>
      </c>
      <c r="J441" s="10" t="s">
        <v>2831</v>
      </c>
      <c r="K441" s="10" t="s">
        <v>2831</v>
      </c>
      <c r="L441" s="10" t="s">
        <v>2831</v>
      </c>
      <c r="M441" s="11">
        <v>2005.0</v>
      </c>
      <c r="N441" s="10" t="s">
        <v>2832</v>
      </c>
      <c r="O441" s="10" t="s">
        <v>2832</v>
      </c>
      <c r="P441" s="11">
        <v>7372.0</v>
      </c>
      <c r="Q441" s="11">
        <v>3990.0</v>
      </c>
      <c r="R441" s="11">
        <v>11.0</v>
      </c>
      <c r="S441" s="10"/>
      <c r="T441" s="10"/>
      <c r="U441" s="10"/>
      <c r="V441" s="10"/>
      <c r="W441" s="10"/>
      <c r="X441" s="10"/>
      <c r="Y441" s="10"/>
    </row>
    <row r="442">
      <c r="A442" s="10" t="s">
        <v>2833</v>
      </c>
      <c r="B442" s="11">
        <v>1268671.0</v>
      </c>
      <c r="C442" s="8" t="s">
        <v>762</v>
      </c>
      <c r="D442" s="9" t="s">
        <v>2834</v>
      </c>
      <c r="E442" s="10" t="s">
        <v>2835</v>
      </c>
      <c r="F442" s="11">
        <v>1268671.0</v>
      </c>
      <c r="G442" s="10"/>
      <c r="H442" s="10" t="s">
        <v>2836</v>
      </c>
      <c r="I442" s="10" t="s">
        <v>2837</v>
      </c>
      <c r="J442" s="10" t="s">
        <v>2838</v>
      </c>
      <c r="K442" s="10" t="s">
        <v>2838</v>
      </c>
      <c r="L442" s="10" t="s">
        <v>2838</v>
      </c>
      <c r="M442" s="11">
        <v>2004.0</v>
      </c>
      <c r="N442" s="10" t="s">
        <v>2839</v>
      </c>
      <c r="O442" s="10" t="s">
        <v>2839</v>
      </c>
      <c r="P442" s="11">
        <v>7389.0</v>
      </c>
      <c r="Q442" s="11">
        <v>7374.0</v>
      </c>
      <c r="R442" s="11">
        <v>18.0</v>
      </c>
      <c r="S442" s="10"/>
      <c r="T442" s="10"/>
      <c r="U442" s="10"/>
      <c r="V442" s="10"/>
      <c r="W442" s="10"/>
      <c r="X442" s="10"/>
      <c r="Y442" s="10"/>
    </row>
    <row r="443">
      <c r="A443" s="10" t="s">
        <v>2840</v>
      </c>
      <c r="B443" s="11">
        <v>1108524.0</v>
      </c>
      <c r="C443" s="8" t="s">
        <v>762</v>
      </c>
      <c r="D443" s="9" t="s">
        <v>2841</v>
      </c>
      <c r="E443" s="10" t="s">
        <v>2842</v>
      </c>
      <c r="F443" s="11">
        <v>1108524.0</v>
      </c>
      <c r="G443" s="11">
        <v>1108524.0</v>
      </c>
      <c r="H443" s="10" t="s">
        <v>2843</v>
      </c>
      <c r="I443" s="10" t="s">
        <v>2844</v>
      </c>
      <c r="J443" s="10" t="s">
        <v>2845</v>
      </c>
      <c r="K443" s="10" t="s">
        <v>2845</v>
      </c>
      <c r="L443" s="10" t="s">
        <v>2845</v>
      </c>
      <c r="M443" s="11">
        <v>2004.0</v>
      </c>
      <c r="N443" s="10" t="s">
        <v>2846</v>
      </c>
      <c r="O443" s="10" t="s">
        <v>2846</v>
      </c>
      <c r="P443" s="11">
        <v>7372.0</v>
      </c>
      <c r="Q443" s="11">
        <v>7372.0</v>
      </c>
      <c r="R443" s="11">
        <v>11.0</v>
      </c>
      <c r="S443" s="10"/>
      <c r="T443" s="10"/>
      <c r="U443" s="10"/>
      <c r="V443" s="10"/>
      <c r="W443" s="10"/>
      <c r="X443" s="10"/>
      <c r="Y443" s="10"/>
    </row>
    <row r="444">
      <c r="A444" s="10" t="s">
        <v>2847</v>
      </c>
      <c r="B444" s="11">
        <v>1835681.0</v>
      </c>
      <c r="C444" s="10" t="s">
        <v>20</v>
      </c>
      <c r="D444" s="9" t="s">
        <v>2848</v>
      </c>
      <c r="E444" s="10" t="s">
        <v>2849</v>
      </c>
      <c r="F444" s="11">
        <v>1835681.0</v>
      </c>
      <c r="G444" s="10"/>
      <c r="H444" s="10" t="s">
        <v>2850</v>
      </c>
      <c r="I444" s="10" t="s">
        <v>2851</v>
      </c>
      <c r="J444" s="10" t="s">
        <v>2852</v>
      </c>
      <c r="K444" s="10" t="s">
        <v>2852</v>
      </c>
      <c r="L444" s="10" t="s">
        <v>2852</v>
      </c>
      <c r="M444" s="11">
        <v>2021.0</v>
      </c>
      <c r="N444" s="10" t="s">
        <v>2853</v>
      </c>
      <c r="O444" s="10" t="s">
        <v>2853</v>
      </c>
      <c r="P444" s="11">
        <v>7372.0</v>
      </c>
      <c r="Q444" s="11">
        <v>7370.0</v>
      </c>
      <c r="R444" s="11">
        <v>18.0</v>
      </c>
      <c r="S444" s="10"/>
      <c r="T444" s="10"/>
      <c r="U444" s="10"/>
      <c r="V444" s="10"/>
      <c r="W444" s="10"/>
      <c r="X444" s="10"/>
      <c r="Y444" s="10"/>
    </row>
    <row r="445">
      <c r="A445" s="10" t="s">
        <v>2854</v>
      </c>
      <c r="B445" s="11">
        <v>1711786.0</v>
      </c>
      <c r="C445" s="10" t="s">
        <v>20</v>
      </c>
      <c r="D445" s="9" t="s">
        <v>2855</v>
      </c>
      <c r="E445" s="10" t="s">
        <v>2856</v>
      </c>
      <c r="F445" s="11">
        <v>1711786.0</v>
      </c>
      <c r="G445" s="11">
        <v>1711786.0</v>
      </c>
      <c r="H445" s="10" t="s">
        <v>2857</v>
      </c>
      <c r="I445" s="10" t="s">
        <v>2858</v>
      </c>
      <c r="J445" s="10" t="s">
        <v>2859</v>
      </c>
      <c r="K445" s="10" t="s">
        <v>2859</v>
      </c>
      <c r="L445" s="10" t="s">
        <v>2859</v>
      </c>
      <c r="M445" s="11">
        <v>2019.0</v>
      </c>
      <c r="N445" s="10" t="s">
        <v>2860</v>
      </c>
      <c r="O445" s="10" t="s">
        <v>2860</v>
      </c>
      <c r="P445" s="11">
        <v>8731.0</v>
      </c>
      <c r="Q445" s="11">
        <v>2836.0</v>
      </c>
      <c r="R445" s="11">
        <v>5.6</v>
      </c>
      <c r="S445" s="10"/>
      <c r="T445" s="10"/>
      <c r="U445" s="10"/>
      <c r="V445" s="10"/>
      <c r="W445" s="10"/>
      <c r="X445" s="10"/>
      <c r="Y445" s="10"/>
    </row>
    <row r="446">
      <c r="A446" s="10" t="s">
        <v>2861</v>
      </c>
      <c r="B446" s="11">
        <v>1496631.0</v>
      </c>
      <c r="C446" s="10" t="s">
        <v>20</v>
      </c>
      <c r="D446" s="9" t="s">
        <v>2712</v>
      </c>
      <c r="E446" s="10" t="s">
        <v>2862</v>
      </c>
      <c r="F446" s="11">
        <v>1496631.0</v>
      </c>
      <c r="G446" s="10"/>
      <c r="H446" s="10" t="s">
        <v>2863</v>
      </c>
      <c r="I446" s="10" t="s">
        <v>2864</v>
      </c>
      <c r="J446" s="10" t="s">
        <v>2865</v>
      </c>
      <c r="K446" s="10" t="s">
        <v>2866</v>
      </c>
      <c r="L446" s="10" t="s">
        <v>2865</v>
      </c>
      <c r="M446" s="11">
        <v>2013.0</v>
      </c>
      <c r="N446" s="10" t="s">
        <v>2867</v>
      </c>
      <c r="O446" s="10" t="s">
        <v>2867</v>
      </c>
      <c r="P446" s="11">
        <v>6022.0</v>
      </c>
      <c r="Q446" s="11">
        <v>6020.0</v>
      </c>
      <c r="R446" s="11">
        <v>24.0</v>
      </c>
      <c r="S446" s="10"/>
      <c r="T446" s="10"/>
      <c r="U446" s="10"/>
      <c r="V446" s="10"/>
      <c r="W446" s="10"/>
      <c r="X446" s="10"/>
      <c r="Y446" s="10"/>
    </row>
    <row r="447">
      <c r="A447" s="10" t="s">
        <v>2868</v>
      </c>
      <c r="B447" s="11">
        <v>1003989.0</v>
      </c>
      <c r="C447" s="10" t="s">
        <v>20</v>
      </c>
      <c r="D447" s="9" t="s">
        <v>2869</v>
      </c>
      <c r="E447" s="10" t="s">
        <v>2870</v>
      </c>
      <c r="F447" s="11">
        <v>1003989.0</v>
      </c>
      <c r="G447" s="10"/>
      <c r="H447" s="10" t="s">
        <v>2871</v>
      </c>
      <c r="I447" s="10" t="s">
        <v>2872</v>
      </c>
      <c r="J447" s="10" t="s">
        <v>2873</v>
      </c>
      <c r="K447" s="10" t="s">
        <v>2874</v>
      </c>
      <c r="L447" s="10" t="s">
        <v>2873</v>
      </c>
      <c r="M447" s="11">
        <v>1997.0</v>
      </c>
      <c r="N447" s="10" t="s">
        <v>533</v>
      </c>
      <c r="O447" s="10" t="s">
        <v>533</v>
      </c>
      <c r="P447" s="11">
        <v>7379.0</v>
      </c>
      <c r="Q447" s="11">
        <v>7373.0</v>
      </c>
      <c r="R447" s="11">
        <v>9.0</v>
      </c>
      <c r="S447" s="10"/>
      <c r="T447" s="10"/>
      <c r="U447" s="10"/>
      <c r="V447" s="10"/>
      <c r="W447" s="10"/>
      <c r="X447" s="10"/>
      <c r="Y447" s="10"/>
    </row>
    <row r="448">
      <c r="A448" s="10" t="s">
        <v>2875</v>
      </c>
      <c r="B448" s="11">
        <v>1979332.0</v>
      </c>
      <c r="C448" s="10" t="s">
        <v>20</v>
      </c>
      <c r="D448" s="9" t="s">
        <v>2876</v>
      </c>
      <c r="E448" s="10" t="s">
        <v>2877</v>
      </c>
      <c r="F448" s="11">
        <v>1979332.0</v>
      </c>
      <c r="G448" s="11">
        <v>1979332.0</v>
      </c>
      <c r="H448" s="10" t="s">
        <v>2878</v>
      </c>
      <c r="I448" s="10" t="s">
        <v>2879</v>
      </c>
      <c r="J448" s="10" t="s">
        <v>2880</v>
      </c>
      <c r="K448" s="10" t="s">
        <v>2880</v>
      </c>
      <c r="L448" s="10" t="s">
        <v>2880</v>
      </c>
      <c r="M448" s="11">
        <v>2023.0</v>
      </c>
      <c r="N448" s="10" t="s">
        <v>2881</v>
      </c>
      <c r="O448" s="10" t="s">
        <v>2881</v>
      </c>
      <c r="P448" s="11">
        <v>6035.0</v>
      </c>
      <c r="Q448" s="11">
        <v>6035.0</v>
      </c>
      <c r="R448" s="11">
        <v>10.0</v>
      </c>
      <c r="S448" s="10"/>
      <c r="T448" s="10"/>
      <c r="U448" s="10"/>
      <c r="V448" s="10"/>
      <c r="W448" s="10"/>
      <c r="X448" s="10"/>
      <c r="Y448" s="10"/>
    </row>
    <row r="449">
      <c r="A449" s="10" t="s">
        <v>2882</v>
      </c>
      <c r="B449" s="11">
        <v>1264388.0</v>
      </c>
      <c r="C449" s="10" t="s">
        <v>20</v>
      </c>
      <c r="D449" s="9" t="s">
        <v>2883</v>
      </c>
      <c r="E449" s="10" t="s">
        <v>2884</v>
      </c>
      <c r="F449" s="11">
        <v>1264388.0</v>
      </c>
      <c r="G449" s="10"/>
      <c r="H449" s="10" t="s">
        <v>2885</v>
      </c>
      <c r="I449" s="10" t="s">
        <v>2886</v>
      </c>
      <c r="J449" s="10" t="s">
        <v>2887</v>
      </c>
      <c r="K449" s="10" t="s">
        <v>2887</v>
      </c>
      <c r="L449" s="10" t="s">
        <v>2887</v>
      </c>
      <c r="M449" s="11">
        <v>2004.0</v>
      </c>
      <c r="N449" s="10" t="s">
        <v>2888</v>
      </c>
      <c r="O449" s="10" t="s">
        <v>2888</v>
      </c>
      <c r="P449" s="11">
        <v>7371.0</v>
      </c>
      <c r="Q449" s="11">
        <v>3571.0</v>
      </c>
      <c r="R449" s="11">
        <v>6.0</v>
      </c>
      <c r="S449" s="10"/>
      <c r="T449" s="10"/>
      <c r="U449" s="10"/>
      <c r="V449" s="10"/>
      <c r="W449" s="10"/>
      <c r="X449" s="10"/>
      <c r="Y449" s="10"/>
    </row>
    <row r="450">
      <c r="A450" s="10" t="s">
        <v>2889</v>
      </c>
      <c r="B450" s="11">
        <v>1168478.0</v>
      </c>
      <c r="C450" s="10" t="s">
        <v>20</v>
      </c>
      <c r="D450" s="9" t="s">
        <v>2890</v>
      </c>
      <c r="E450" s="10" t="s">
        <v>2891</v>
      </c>
      <c r="F450" s="11">
        <v>1168478.0</v>
      </c>
      <c r="G450" s="10"/>
      <c r="H450" s="10" t="s">
        <v>2892</v>
      </c>
      <c r="I450" s="10" t="s">
        <v>2893</v>
      </c>
      <c r="J450" s="10" t="s">
        <v>2894</v>
      </c>
      <c r="K450" s="10" t="s">
        <v>2894</v>
      </c>
      <c r="L450" s="10" t="s">
        <v>2894</v>
      </c>
      <c r="M450" s="11">
        <v>2002.0</v>
      </c>
      <c r="N450" s="10"/>
      <c r="O450" s="10"/>
      <c r="P450" s="11">
        <v>8742.0</v>
      </c>
      <c r="Q450" s="11">
        <v>7374.0</v>
      </c>
      <c r="R450" s="11">
        <v>19.0</v>
      </c>
      <c r="S450" s="10"/>
      <c r="T450" s="10"/>
      <c r="U450" s="10"/>
      <c r="V450" s="10"/>
      <c r="W450" s="10"/>
      <c r="X450" s="10"/>
      <c r="Y450" s="10"/>
    </row>
    <row r="451">
      <c r="A451" s="10" t="s">
        <v>2895</v>
      </c>
      <c r="B451" s="11">
        <v>1058690.0</v>
      </c>
      <c r="C451" s="10" t="s">
        <v>20</v>
      </c>
      <c r="D451" s="9" t="s">
        <v>2712</v>
      </c>
      <c r="E451" s="10" t="s">
        <v>2896</v>
      </c>
      <c r="F451" s="11">
        <v>1058690.0</v>
      </c>
      <c r="G451" s="10"/>
      <c r="H451" s="10" t="s">
        <v>2897</v>
      </c>
      <c r="I451" s="10" t="s">
        <v>2898</v>
      </c>
      <c r="J451" s="10" t="s">
        <v>2899</v>
      </c>
      <c r="K451" s="10" t="s">
        <v>2899</v>
      </c>
      <c r="L451" s="10" t="s">
        <v>2899</v>
      </c>
      <c r="M451" s="11">
        <v>1998.0</v>
      </c>
      <c r="N451" s="10" t="s">
        <v>2900</v>
      </c>
      <c r="O451" s="10" t="s">
        <v>2900</v>
      </c>
      <c r="P451" s="11">
        <v>6022.0</v>
      </c>
      <c r="Q451" s="11">
        <v>6020.0</v>
      </c>
      <c r="R451" s="11">
        <v>12.0</v>
      </c>
      <c r="S451" s="10"/>
      <c r="T451" s="10"/>
      <c r="U451" s="10"/>
      <c r="V451" s="10"/>
      <c r="W451" s="10"/>
      <c r="X451" s="10"/>
      <c r="Y451" s="10"/>
    </row>
    <row r="452">
      <c r="A452" s="10" t="s">
        <v>2901</v>
      </c>
      <c r="B452" s="11">
        <v>1137048.0</v>
      </c>
      <c r="C452" s="10" t="s">
        <v>20</v>
      </c>
      <c r="D452" s="9" t="s">
        <v>2902</v>
      </c>
      <c r="E452" s="10" t="s">
        <v>2903</v>
      </c>
      <c r="F452" s="11">
        <v>1137048.0</v>
      </c>
      <c r="G452" s="10"/>
      <c r="H452" s="10" t="s">
        <v>2904</v>
      </c>
      <c r="I452" s="10" t="s">
        <v>2905</v>
      </c>
      <c r="J452" s="10" t="s">
        <v>2906</v>
      </c>
      <c r="K452" s="10" t="s">
        <v>2906</v>
      </c>
      <c r="L452" s="10" t="s">
        <v>2906</v>
      </c>
      <c r="M452" s="11">
        <v>2001.0</v>
      </c>
      <c r="N452" s="10"/>
      <c r="O452" s="10"/>
      <c r="P452" s="11">
        <v>6331.0</v>
      </c>
      <c r="Q452" s="11">
        <v>6351.0</v>
      </c>
      <c r="R452" s="11">
        <v>18.0</v>
      </c>
      <c r="S452" s="10"/>
      <c r="T452" s="10"/>
      <c r="U452" s="10"/>
      <c r="V452" s="10"/>
      <c r="W452" s="10"/>
      <c r="X452" s="10"/>
      <c r="Y452" s="10"/>
    </row>
    <row r="453">
      <c r="A453" s="10" t="s">
        <v>2907</v>
      </c>
      <c r="B453" s="11">
        <v>1081938.0</v>
      </c>
      <c r="C453" s="10" t="s">
        <v>20</v>
      </c>
      <c r="D453" s="9" t="s">
        <v>2908</v>
      </c>
      <c r="E453" s="10" t="s">
        <v>2909</v>
      </c>
      <c r="F453" s="10"/>
      <c r="G453" s="10"/>
      <c r="H453" s="10" t="s">
        <v>2910</v>
      </c>
      <c r="I453" s="10" t="s">
        <v>2911</v>
      </c>
      <c r="J453" s="10" t="s">
        <v>2912</v>
      </c>
      <c r="K453" s="10" t="s">
        <v>2913</v>
      </c>
      <c r="L453" s="10" t="s">
        <v>2912</v>
      </c>
      <c r="M453" s="11">
        <v>1999.0</v>
      </c>
      <c r="N453" s="10" t="s">
        <v>2698</v>
      </c>
      <c r="O453" s="10" t="s">
        <v>2698</v>
      </c>
      <c r="P453" s="11">
        <v>7389.0</v>
      </c>
      <c r="Q453" s="11">
        <v>7373.0</v>
      </c>
      <c r="R453" s="11">
        <v>6.5</v>
      </c>
      <c r="S453" s="10"/>
      <c r="T453" s="10"/>
      <c r="U453" s="10"/>
      <c r="V453" s="10"/>
      <c r="W453" s="10"/>
      <c r="X453" s="10"/>
      <c r="Y453" s="10"/>
    </row>
    <row r="454">
      <c r="A454" s="10" t="s">
        <v>2914</v>
      </c>
      <c r="B454" s="11">
        <v>1540184.0</v>
      </c>
      <c r="C454" s="8" t="s">
        <v>762</v>
      </c>
      <c r="D454" s="9" t="s">
        <v>2915</v>
      </c>
      <c r="E454" s="10" t="s">
        <v>2916</v>
      </c>
      <c r="F454" s="11">
        <v>1540184.0</v>
      </c>
      <c r="G454" s="10"/>
      <c r="H454" s="10" t="s">
        <v>2917</v>
      </c>
      <c r="I454" s="10" t="s">
        <v>2918</v>
      </c>
      <c r="J454" s="10" t="s">
        <v>2919</v>
      </c>
      <c r="K454" s="10" t="s">
        <v>2919</v>
      </c>
      <c r="L454" s="10" t="s">
        <v>2919</v>
      </c>
      <c r="M454" s="11">
        <v>2019.0</v>
      </c>
      <c r="N454" s="10" t="s">
        <v>2920</v>
      </c>
      <c r="O454" s="10" t="s">
        <v>2920</v>
      </c>
      <c r="P454" s="11">
        <v>7372.0</v>
      </c>
      <c r="Q454" s="11">
        <v>7370.0</v>
      </c>
      <c r="R454" s="11">
        <v>21.0</v>
      </c>
      <c r="S454" s="10"/>
      <c r="T454" s="10"/>
      <c r="U454" s="10"/>
      <c r="V454" s="10"/>
      <c r="W454" s="10"/>
      <c r="X454" s="10"/>
      <c r="Y454" s="10"/>
    </row>
    <row r="455">
      <c r="A455" s="10" t="s">
        <v>2921</v>
      </c>
      <c r="B455" s="11">
        <v>1590955.0</v>
      </c>
      <c r="C455" s="8" t="s">
        <v>762</v>
      </c>
      <c r="D455" s="9" t="s">
        <v>2922</v>
      </c>
      <c r="E455" s="10" t="s">
        <v>2923</v>
      </c>
      <c r="F455" s="11">
        <v>1590955.0</v>
      </c>
      <c r="G455" s="11">
        <v>1590955.0</v>
      </c>
      <c r="H455" s="10" t="s">
        <v>2924</v>
      </c>
      <c r="I455" s="10" t="s">
        <v>2925</v>
      </c>
      <c r="J455" s="10" t="s">
        <v>2926</v>
      </c>
      <c r="K455" s="10" t="s">
        <v>2926</v>
      </c>
      <c r="L455" s="10"/>
      <c r="M455" s="11">
        <v>2014.0</v>
      </c>
      <c r="N455" s="10" t="s">
        <v>2927</v>
      </c>
      <c r="O455" s="10" t="s">
        <v>2927</v>
      </c>
      <c r="P455" s="11">
        <v>7372.0</v>
      </c>
      <c r="Q455" s="11">
        <v>7370.0</v>
      </c>
      <c r="R455" s="11">
        <v>15.0</v>
      </c>
      <c r="S455" s="10"/>
      <c r="T455" s="10"/>
      <c r="U455" s="10"/>
      <c r="V455" s="10"/>
      <c r="W455" s="10"/>
      <c r="X455" s="10"/>
      <c r="Y455" s="10"/>
    </row>
    <row r="456">
      <c r="A456" s="10" t="s">
        <v>2928</v>
      </c>
      <c r="B456" s="11">
        <v>1093242.0</v>
      </c>
      <c r="C456" s="8" t="s">
        <v>762</v>
      </c>
      <c r="D456" s="9" t="s">
        <v>2929</v>
      </c>
      <c r="E456" s="10" t="s">
        <v>2930</v>
      </c>
      <c r="F456" s="11">
        <v>1093242.0</v>
      </c>
      <c r="G456" s="10"/>
      <c r="H456" s="10" t="s">
        <v>2931</v>
      </c>
      <c r="I456" s="10" t="s">
        <v>2932</v>
      </c>
      <c r="J456" s="10" t="s">
        <v>2933</v>
      </c>
      <c r="K456" s="10" t="s">
        <v>2933</v>
      </c>
      <c r="L456" s="10" t="s">
        <v>2933</v>
      </c>
      <c r="M456" s="11">
        <v>1999.0</v>
      </c>
      <c r="N456" s="10" t="s">
        <v>2934</v>
      </c>
      <c r="O456" s="10" t="s">
        <v>2934</v>
      </c>
      <c r="P456" s="11">
        <v>7372.0</v>
      </c>
      <c r="Q456" s="11">
        <v>7372.0</v>
      </c>
      <c r="R456" s="11">
        <v>11.0</v>
      </c>
      <c r="S456" s="10"/>
      <c r="T456" s="10"/>
      <c r="U456" s="10"/>
      <c r="V456" s="10"/>
      <c r="W456" s="10"/>
      <c r="X456" s="10"/>
      <c r="Y456" s="10"/>
    </row>
    <row r="457">
      <c r="A457" s="10" t="s">
        <v>2935</v>
      </c>
      <c r="B457" s="11">
        <v>1082690.0</v>
      </c>
      <c r="C457" s="10" t="s">
        <v>749</v>
      </c>
      <c r="D457" s="9" t="s">
        <v>2936</v>
      </c>
      <c r="E457" s="10" t="s">
        <v>2937</v>
      </c>
      <c r="F457" s="11">
        <v>1082690.0</v>
      </c>
      <c r="G457" s="11">
        <v>1868159.0</v>
      </c>
      <c r="H457" s="10" t="s">
        <v>2938</v>
      </c>
      <c r="I457" s="10" t="s">
        <v>2939</v>
      </c>
      <c r="J457" s="10" t="s">
        <v>2940</v>
      </c>
      <c r="K457" s="10" t="s">
        <v>2941</v>
      </c>
      <c r="L457" s="10" t="s">
        <v>2940</v>
      </c>
      <c r="M457" s="11">
        <v>1999.0</v>
      </c>
      <c r="N457" s="10" t="s">
        <v>2942</v>
      </c>
      <c r="O457" s="10" t="s">
        <v>2942</v>
      </c>
      <c r="P457" s="11">
        <v>6211.0</v>
      </c>
      <c r="Q457" s="11">
        <v>6211.0</v>
      </c>
      <c r="R457" s="11">
        <v>7.0</v>
      </c>
      <c r="S457" s="10"/>
      <c r="T457" s="10"/>
      <c r="U457" s="10"/>
      <c r="V457" s="10"/>
      <c r="W457" s="10"/>
      <c r="X457" s="10"/>
      <c r="Y457" s="10"/>
    </row>
    <row r="458">
      <c r="A458" s="10" t="s">
        <v>2943</v>
      </c>
      <c r="B458" s="11">
        <v>1022893.0</v>
      </c>
      <c r="C458" s="8" t="s">
        <v>762</v>
      </c>
      <c r="D458" s="9" t="s">
        <v>2944</v>
      </c>
      <c r="E458" s="10" t="s">
        <v>2945</v>
      </c>
      <c r="F458" s="11">
        <v>1022893.0</v>
      </c>
      <c r="G458" s="10"/>
      <c r="H458" s="10" t="s">
        <v>2946</v>
      </c>
      <c r="I458" s="10" t="s">
        <v>2947</v>
      </c>
      <c r="J458" s="10" t="s">
        <v>2948</v>
      </c>
      <c r="K458" s="10" t="s">
        <v>2948</v>
      </c>
      <c r="L458" s="10" t="s">
        <v>2948</v>
      </c>
      <c r="M458" s="11">
        <v>1997.0</v>
      </c>
      <c r="N458" s="10" t="s">
        <v>2949</v>
      </c>
      <c r="O458" s="10" t="s">
        <v>2949</v>
      </c>
      <c r="P458" s="11">
        <v>7373.0</v>
      </c>
      <c r="Q458" s="11">
        <v>7363.0</v>
      </c>
      <c r="R458" s="11">
        <v>7.5</v>
      </c>
      <c r="S458" s="10"/>
      <c r="T458" s="10"/>
      <c r="U458" s="10"/>
      <c r="V458" s="10"/>
      <c r="W458" s="10"/>
      <c r="X458" s="10"/>
      <c r="Y458" s="10"/>
    </row>
    <row r="459">
      <c r="A459" s="10" t="s">
        <v>2950</v>
      </c>
      <c r="B459" s="11">
        <v>926966.0</v>
      </c>
      <c r="C459" s="10" t="s">
        <v>20</v>
      </c>
      <c r="D459" s="9" t="s">
        <v>2951</v>
      </c>
      <c r="E459" s="10"/>
      <c r="F459" s="10"/>
      <c r="G459" s="11">
        <v>1736297.0</v>
      </c>
      <c r="H459" s="10" t="s">
        <v>2952</v>
      </c>
      <c r="I459" s="10" t="s">
        <v>2953</v>
      </c>
      <c r="J459" s="10" t="s">
        <v>2954</v>
      </c>
      <c r="K459" s="10"/>
      <c r="L459" s="10" t="s">
        <v>2954</v>
      </c>
      <c r="M459" s="11">
        <v>1994.0</v>
      </c>
      <c r="N459" s="10"/>
      <c r="O459" s="10"/>
      <c r="P459" s="11">
        <v>6021.0</v>
      </c>
      <c r="Q459" s="10"/>
      <c r="R459" s="11">
        <v>10.0</v>
      </c>
      <c r="S459" s="10"/>
      <c r="T459" s="10"/>
      <c r="U459" s="10"/>
      <c r="V459" s="10"/>
      <c r="W459" s="10"/>
      <c r="X459" s="10"/>
      <c r="Y459" s="10"/>
    </row>
    <row r="460">
      <c r="A460" s="10" t="s">
        <v>2955</v>
      </c>
      <c r="B460" s="11">
        <v>1097119.0</v>
      </c>
      <c r="C460" s="10" t="s">
        <v>20</v>
      </c>
      <c r="D460" s="9" t="s">
        <v>2956</v>
      </c>
      <c r="E460" s="10" t="s">
        <v>2957</v>
      </c>
      <c r="F460" s="11">
        <v>1097119.0</v>
      </c>
      <c r="G460" s="10"/>
      <c r="H460" s="10" t="s">
        <v>2958</v>
      </c>
      <c r="I460" s="10" t="s">
        <v>2959</v>
      </c>
      <c r="J460" s="10" t="s">
        <v>2960</v>
      </c>
      <c r="K460" s="10" t="s">
        <v>2960</v>
      </c>
      <c r="L460" s="10" t="s">
        <v>2961</v>
      </c>
      <c r="M460" s="11">
        <v>2000.0</v>
      </c>
      <c r="N460" s="10" t="s">
        <v>2962</v>
      </c>
      <c r="O460" s="10" t="s">
        <v>2962</v>
      </c>
      <c r="P460" s="11">
        <v>7373.0</v>
      </c>
      <c r="Q460" s="11">
        <v>7373.0</v>
      </c>
      <c r="R460" s="11">
        <v>13.0</v>
      </c>
      <c r="S460" s="10"/>
      <c r="T460" s="10"/>
      <c r="U460" s="10"/>
      <c r="V460" s="10"/>
      <c r="W460" s="10"/>
      <c r="X460" s="10"/>
      <c r="Y460" s="10"/>
    </row>
    <row r="461">
      <c r="A461" s="10" t="s">
        <v>2963</v>
      </c>
      <c r="B461" s="11">
        <v>1093193.0</v>
      </c>
      <c r="C461" s="10" t="s">
        <v>20</v>
      </c>
      <c r="D461" s="9" t="s">
        <v>2964</v>
      </c>
      <c r="E461" s="10" t="s">
        <v>2965</v>
      </c>
      <c r="F461" s="11">
        <v>1093193.0</v>
      </c>
      <c r="G461" s="10"/>
      <c r="H461" s="10" t="s">
        <v>2966</v>
      </c>
      <c r="I461" s="10" t="s">
        <v>2967</v>
      </c>
      <c r="J461" s="10" t="s">
        <v>2968</v>
      </c>
      <c r="K461" s="10" t="s">
        <v>2968</v>
      </c>
      <c r="L461" s="10" t="s">
        <v>2968</v>
      </c>
      <c r="M461" s="11">
        <v>1999.0</v>
      </c>
      <c r="N461" s="10" t="s">
        <v>917</v>
      </c>
      <c r="O461" s="10" t="s">
        <v>917</v>
      </c>
      <c r="P461" s="11">
        <v>7371.0</v>
      </c>
      <c r="Q461" s="11">
        <v>7373.0</v>
      </c>
      <c r="R461" s="11">
        <v>17.0</v>
      </c>
      <c r="S461" s="10"/>
      <c r="T461" s="10"/>
      <c r="U461" s="10"/>
      <c r="V461" s="10"/>
      <c r="W461" s="10"/>
      <c r="X461" s="10"/>
      <c r="Y461" s="10"/>
    </row>
    <row r="462">
      <c r="A462" s="10" t="s">
        <v>2969</v>
      </c>
      <c r="B462" s="11">
        <v>921559.0</v>
      </c>
      <c r="C462" s="10" t="s">
        <v>20</v>
      </c>
      <c r="D462" s="9" t="s">
        <v>2970</v>
      </c>
      <c r="E462" s="10" t="s">
        <v>2971</v>
      </c>
      <c r="F462" s="11">
        <v>921559.0</v>
      </c>
      <c r="G462" s="10"/>
      <c r="H462" s="10" t="s">
        <v>2972</v>
      </c>
      <c r="I462" s="10" t="s">
        <v>2973</v>
      </c>
      <c r="J462" s="10" t="s">
        <v>2974</v>
      </c>
      <c r="K462" s="10" t="s">
        <v>2975</v>
      </c>
      <c r="L462" s="10" t="s">
        <v>2974</v>
      </c>
      <c r="M462" s="11">
        <v>1994.0</v>
      </c>
      <c r="N462" s="10" t="s">
        <v>2976</v>
      </c>
      <c r="O462" s="10" t="s">
        <v>2976</v>
      </c>
      <c r="P462" s="11">
        <v>6153.0</v>
      </c>
      <c r="Q462" s="11">
        <v>6153.0</v>
      </c>
      <c r="R462" s="11">
        <v>10.5</v>
      </c>
      <c r="S462" s="10"/>
      <c r="T462" s="10"/>
      <c r="U462" s="10"/>
      <c r="V462" s="10"/>
      <c r="W462" s="10"/>
      <c r="X462" s="10"/>
      <c r="Y462" s="10"/>
    </row>
    <row r="463">
      <c r="A463" s="10" t="s">
        <v>2977</v>
      </c>
      <c r="B463" s="11">
        <v>1002063.0</v>
      </c>
      <c r="C463" s="10" t="s">
        <v>20</v>
      </c>
      <c r="D463" s="9" t="s">
        <v>2978</v>
      </c>
      <c r="E463" s="10" t="s">
        <v>2979</v>
      </c>
      <c r="F463" s="11">
        <v>1002063.0</v>
      </c>
      <c r="G463" s="11">
        <v>26172.0</v>
      </c>
      <c r="H463" s="10" t="s">
        <v>2980</v>
      </c>
      <c r="I463" s="10" t="s">
        <v>2981</v>
      </c>
      <c r="J463" s="10" t="s">
        <v>2982</v>
      </c>
      <c r="K463" s="10" t="s">
        <v>2983</v>
      </c>
      <c r="L463" s="10" t="s">
        <v>2982</v>
      </c>
      <c r="M463" s="11">
        <v>1995.0</v>
      </c>
      <c r="N463" s="10" t="s">
        <v>2984</v>
      </c>
      <c r="O463" s="10" t="s">
        <v>2984</v>
      </c>
      <c r="P463" s="11">
        <v>8742.0</v>
      </c>
      <c r="Q463" s="11">
        <v>8741.0</v>
      </c>
      <c r="R463" s="11">
        <v>9.0</v>
      </c>
      <c r="S463" s="10"/>
      <c r="T463" s="10"/>
      <c r="U463" s="10"/>
      <c r="V463" s="10"/>
      <c r="W463" s="10"/>
      <c r="X463" s="10"/>
      <c r="Y463" s="10"/>
    </row>
    <row r="464">
      <c r="A464" s="10" t="s">
        <v>2985</v>
      </c>
      <c r="B464" s="11">
        <v>1879403.0</v>
      </c>
      <c r="C464" s="10" t="s">
        <v>20</v>
      </c>
      <c r="D464" s="9" t="s">
        <v>2986</v>
      </c>
      <c r="E464" s="10" t="s">
        <v>2987</v>
      </c>
      <c r="F464" s="11">
        <v>1879403.0</v>
      </c>
      <c r="G464" s="11">
        <v>1879403.0</v>
      </c>
      <c r="H464" s="10" t="s">
        <v>2988</v>
      </c>
      <c r="I464" s="10" t="s">
        <v>2989</v>
      </c>
      <c r="J464" s="10" t="s">
        <v>2990</v>
      </c>
      <c r="K464" s="10" t="s">
        <v>2990</v>
      </c>
      <c r="L464" s="10" t="s">
        <v>2990</v>
      </c>
      <c r="M464" s="11">
        <v>2023.0</v>
      </c>
      <c r="N464" s="10" t="s">
        <v>2991</v>
      </c>
      <c r="O464" s="10" t="s">
        <v>2991</v>
      </c>
      <c r="P464" s="11">
        <v>6531.0</v>
      </c>
      <c r="Q464" s="11">
        <v>6531.0</v>
      </c>
      <c r="R464" s="11">
        <v>5.0</v>
      </c>
      <c r="S464" s="10"/>
      <c r="T464" s="10"/>
      <c r="U464" s="10"/>
      <c r="V464" s="10"/>
      <c r="W464" s="10"/>
      <c r="X464" s="10"/>
      <c r="Y464" s="10"/>
    </row>
    <row r="465">
      <c r="A465" s="10" t="s">
        <v>2992</v>
      </c>
      <c r="B465" s="11">
        <v>1282552.0</v>
      </c>
      <c r="C465" s="10" t="s">
        <v>20</v>
      </c>
      <c r="D465" s="9" t="s">
        <v>2993</v>
      </c>
      <c r="E465" s="10" t="s">
        <v>2994</v>
      </c>
      <c r="F465" s="11">
        <v>1282552.0</v>
      </c>
      <c r="G465" s="10"/>
      <c r="H465" s="10" t="s">
        <v>2995</v>
      </c>
      <c r="I465" s="10" t="s">
        <v>2996</v>
      </c>
      <c r="J465" s="10" t="s">
        <v>2997</v>
      </c>
      <c r="K465" s="10" t="s">
        <v>2998</v>
      </c>
      <c r="L465" s="10" t="s">
        <v>2997</v>
      </c>
      <c r="M465" s="11">
        <v>2004.0</v>
      </c>
      <c r="N465" s="10" t="s">
        <v>2999</v>
      </c>
      <c r="O465" s="10" t="s">
        <v>2999</v>
      </c>
      <c r="P465" s="11">
        <v>6162.0</v>
      </c>
      <c r="Q465" s="11">
        <v>6798.0</v>
      </c>
      <c r="R465" s="11">
        <v>8.5</v>
      </c>
      <c r="S465" s="10"/>
      <c r="T465" s="10"/>
      <c r="U465" s="10"/>
      <c r="V465" s="10"/>
      <c r="W465" s="10"/>
      <c r="X465" s="10"/>
      <c r="Y465" s="10"/>
    </row>
    <row r="466">
      <c r="A466" s="10" t="s">
        <v>3000</v>
      </c>
      <c r="B466" s="11">
        <v>1044993.0</v>
      </c>
      <c r="C466" s="10" t="s">
        <v>20</v>
      </c>
      <c r="D466" s="9" t="s">
        <v>3001</v>
      </c>
      <c r="E466" s="10" t="s">
        <v>3002</v>
      </c>
      <c r="F466" s="11">
        <v>1044993.0</v>
      </c>
      <c r="G466" s="10"/>
      <c r="H466" s="10" t="s">
        <v>3003</v>
      </c>
      <c r="I466" s="10" t="s">
        <v>3004</v>
      </c>
      <c r="J466" s="10" t="s">
        <v>3005</v>
      </c>
      <c r="K466" s="10" t="s">
        <v>3005</v>
      </c>
      <c r="L466" s="10" t="s">
        <v>3005</v>
      </c>
      <c r="M466" s="11">
        <v>1997.0</v>
      </c>
      <c r="N466" s="10" t="s">
        <v>3006</v>
      </c>
      <c r="O466" s="10" t="s">
        <v>3006</v>
      </c>
      <c r="P466" s="11">
        <v>7311.0</v>
      </c>
      <c r="Q466" s="11">
        <v>7311.0</v>
      </c>
      <c r="R466" s="11">
        <v>9.0</v>
      </c>
      <c r="S466" s="10"/>
      <c r="T466" s="10"/>
      <c r="U466" s="10"/>
      <c r="V466" s="10"/>
      <c r="W466" s="10"/>
      <c r="X466" s="10"/>
      <c r="Y466" s="10"/>
    </row>
    <row r="467">
      <c r="A467" s="10" t="s">
        <v>3007</v>
      </c>
      <c r="B467" s="11">
        <v>1081182.0</v>
      </c>
      <c r="C467" s="10" t="s">
        <v>749</v>
      </c>
      <c r="D467" s="9" t="s">
        <v>3008</v>
      </c>
      <c r="E467" s="10" t="s">
        <v>3009</v>
      </c>
      <c r="F467" s="11">
        <v>1081182.0</v>
      </c>
      <c r="G467" s="10"/>
      <c r="H467" s="10" t="s">
        <v>3010</v>
      </c>
      <c r="I467" s="10" t="s">
        <v>3011</v>
      </c>
      <c r="J467" s="10" t="s">
        <v>3012</v>
      </c>
      <c r="K467" s="10" t="s">
        <v>3012</v>
      </c>
      <c r="L467" s="10" t="s">
        <v>3012</v>
      </c>
      <c r="M467" s="11">
        <v>1999.0</v>
      </c>
      <c r="N467" s="10" t="s">
        <v>3013</v>
      </c>
      <c r="O467" s="10" t="s">
        <v>3013</v>
      </c>
      <c r="P467" s="11">
        <v>6162.0</v>
      </c>
      <c r="Q467" s="11">
        <v>6162.0</v>
      </c>
      <c r="R467" s="11">
        <v>8.0</v>
      </c>
      <c r="S467" s="10"/>
      <c r="T467" s="10"/>
      <c r="U467" s="10"/>
      <c r="V467" s="10"/>
      <c r="W467" s="10"/>
      <c r="X467" s="10"/>
      <c r="Y467" s="10"/>
    </row>
    <row r="468">
      <c r="A468" s="10" t="s">
        <v>3014</v>
      </c>
      <c r="B468" s="11">
        <v>1012771.0</v>
      </c>
      <c r="C468" s="10" t="s">
        <v>20</v>
      </c>
      <c r="D468" s="9" t="s">
        <v>3015</v>
      </c>
      <c r="E468" s="10" t="s">
        <v>3016</v>
      </c>
      <c r="F468" s="11">
        <v>1012771.0</v>
      </c>
      <c r="G468" s="10"/>
      <c r="H468" s="10" t="s">
        <v>3017</v>
      </c>
      <c r="I468" s="10" t="s">
        <v>3018</v>
      </c>
      <c r="J468" s="10" t="s">
        <v>3019</v>
      </c>
      <c r="K468" s="10" t="s">
        <v>3019</v>
      </c>
      <c r="L468" s="10"/>
      <c r="M468" s="11">
        <v>1996.0</v>
      </c>
      <c r="N468" s="10" t="s">
        <v>3020</v>
      </c>
      <c r="O468" s="10" t="s">
        <v>3020</v>
      </c>
      <c r="P468" s="11">
        <v>6311.0</v>
      </c>
      <c r="Q468" s="11">
        <v>6311.0</v>
      </c>
      <c r="R468" s="11">
        <v>17.5</v>
      </c>
      <c r="S468" s="10"/>
      <c r="T468" s="10"/>
      <c r="U468" s="10"/>
      <c r="V468" s="10"/>
      <c r="W468" s="10"/>
      <c r="X468" s="10"/>
      <c r="Y468" s="10"/>
    </row>
    <row r="469">
      <c r="A469" s="10" t="s">
        <v>3021</v>
      </c>
      <c r="B469" s="11">
        <v>1081389.0</v>
      </c>
      <c r="C469" s="8" t="s">
        <v>762</v>
      </c>
      <c r="D469" s="9" t="s">
        <v>3022</v>
      </c>
      <c r="E469" s="10" t="s">
        <v>3023</v>
      </c>
      <c r="F469" s="11">
        <v>1081389.0</v>
      </c>
      <c r="G469" s="10"/>
      <c r="H469" s="10"/>
      <c r="I469" s="10" t="s">
        <v>3024</v>
      </c>
      <c r="J469" s="10" t="s">
        <v>3025</v>
      </c>
      <c r="K469" s="10" t="s">
        <v>3026</v>
      </c>
      <c r="L469" s="10" t="s">
        <v>3025</v>
      </c>
      <c r="M469" s="11">
        <v>1999.0</v>
      </c>
      <c r="N469" s="10" t="s">
        <v>202</v>
      </c>
      <c r="O469" s="10" t="s">
        <v>202</v>
      </c>
      <c r="P469" s="11">
        <v>6162.0</v>
      </c>
      <c r="Q469" s="11">
        <v>6162.0</v>
      </c>
      <c r="R469" s="11">
        <v>14.0</v>
      </c>
      <c r="S469" s="10"/>
      <c r="T469" s="10"/>
      <c r="U469" s="10"/>
      <c r="V469" s="10"/>
      <c r="W469" s="10"/>
      <c r="X469" s="10"/>
      <c r="Y469" s="10"/>
    </row>
    <row r="470">
      <c r="A470" s="10" t="s">
        <v>3027</v>
      </c>
      <c r="B470" s="11">
        <v>1020950.0</v>
      </c>
      <c r="C470" s="10" t="s">
        <v>20</v>
      </c>
      <c r="D470" s="9" t="s">
        <v>3028</v>
      </c>
      <c r="E470" s="10" t="s">
        <v>3029</v>
      </c>
      <c r="F470" s="11">
        <v>1020950.0</v>
      </c>
      <c r="G470" s="10"/>
      <c r="H470" s="10" t="s">
        <v>3030</v>
      </c>
      <c r="I470" s="10" t="s">
        <v>3031</v>
      </c>
      <c r="J470" s="10" t="s">
        <v>3032</v>
      </c>
      <c r="K470" s="10" t="s">
        <v>3033</v>
      </c>
      <c r="L470" s="10" t="s">
        <v>3032</v>
      </c>
      <c r="M470" s="11">
        <v>1998.0</v>
      </c>
      <c r="N470" s="10" t="s">
        <v>2900</v>
      </c>
      <c r="O470" s="10" t="s">
        <v>2900</v>
      </c>
      <c r="P470" s="11">
        <v>6211.0</v>
      </c>
      <c r="Q470" s="11">
        <v>6211.0</v>
      </c>
      <c r="R470" s="11">
        <v>14.0</v>
      </c>
      <c r="S470" s="10"/>
      <c r="T470" s="10"/>
      <c r="U470" s="10"/>
      <c r="V470" s="10"/>
      <c r="W470" s="10"/>
      <c r="X470" s="10"/>
      <c r="Y470" s="10"/>
    </row>
    <row r="471">
      <c r="A471" s="10" t="s">
        <v>3034</v>
      </c>
      <c r="B471" s="11">
        <v>890264.0</v>
      </c>
      <c r="C471" s="10" t="s">
        <v>20</v>
      </c>
      <c r="D471" s="9" t="s">
        <v>3035</v>
      </c>
      <c r="E471" s="10" t="s">
        <v>3036</v>
      </c>
      <c r="F471" s="11">
        <v>890264.0</v>
      </c>
      <c r="G471" s="10"/>
      <c r="H471" s="10" t="s">
        <v>3037</v>
      </c>
      <c r="I471" s="10" t="s">
        <v>3038</v>
      </c>
      <c r="J471" s="10" t="s">
        <v>3039</v>
      </c>
      <c r="K471" s="10" t="s">
        <v>3039</v>
      </c>
      <c r="L471" s="10" t="s">
        <v>3039</v>
      </c>
      <c r="M471" s="11">
        <v>2012.0</v>
      </c>
      <c r="N471" s="10" t="s">
        <v>3040</v>
      </c>
      <c r="O471" s="10" t="s">
        <v>3040</v>
      </c>
      <c r="P471" s="11">
        <v>7372.0</v>
      </c>
      <c r="Q471" s="11">
        <v>7372.0</v>
      </c>
      <c r="R471" s="11">
        <v>10.0</v>
      </c>
      <c r="S471" s="10"/>
      <c r="T471" s="10"/>
      <c r="U471" s="10"/>
      <c r="V471" s="10"/>
      <c r="W471" s="10"/>
      <c r="X471" s="10"/>
      <c r="Y471" s="10"/>
    </row>
    <row r="472">
      <c r="A472" s="10" t="s">
        <v>3041</v>
      </c>
      <c r="B472" s="11">
        <v>11913.0</v>
      </c>
      <c r="C472" s="10" t="s">
        <v>20</v>
      </c>
      <c r="D472" s="9" t="s">
        <v>2712</v>
      </c>
      <c r="E472" s="10"/>
      <c r="F472" s="10"/>
      <c r="G472" s="10"/>
      <c r="H472" s="10" t="s">
        <v>3042</v>
      </c>
      <c r="I472" s="10" t="s">
        <v>3043</v>
      </c>
      <c r="J472" s="10" t="s">
        <v>3044</v>
      </c>
      <c r="K472" s="10"/>
      <c r="L472" s="10" t="s">
        <v>3044</v>
      </c>
      <c r="M472" s="11">
        <v>1996.0</v>
      </c>
      <c r="N472" s="10"/>
      <c r="O472" s="10"/>
      <c r="P472" s="11">
        <v>6029.0</v>
      </c>
      <c r="Q472" s="10"/>
      <c r="R472" s="11">
        <v>15.0</v>
      </c>
      <c r="S472" s="10"/>
      <c r="T472" s="10"/>
      <c r="U472" s="10"/>
      <c r="V472" s="10"/>
      <c r="W472" s="10"/>
      <c r="X472" s="10"/>
      <c r="Y472" s="10"/>
    </row>
    <row r="473">
      <c r="A473" s="10" t="s">
        <v>3045</v>
      </c>
      <c r="B473" s="11">
        <v>1747068.0</v>
      </c>
      <c r="C473" s="10" t="s">
        <v>20</v>
      </c>
      <c r="D473" s="9" t="s">
        <v>2712</v>
      </c>
      <c r="E473" s="10" t="s">
        <v>3046</v>
      </c>
      <c r="F473" s="11">
        <v>1747068.0</v>
      </c>
      <c r="G473" s="11">
        <v>1747068.0</v>
      </c>
      <c r="H473" s="10" t="s">
        <v>3047</v>
      </c>
      <c r="I473" s="10" t="s">
        <v>3048</v>
      </c>
      <c r="J473" s="10" t="s">
        <v>3049</v>
      </c>
      <c r="K473" s="10" t="s">
        <v>3049</v>
      </c>
      <c r="L473" s="10" t="s">
        <v>3049</v>
      </c>
      <c r="M473" s="11">
        <v>2019.0</v>
      </c>
      <c r="N473" s="10"/>
      <c r="O473" s="10"/>
      <c r="P473" s="11">
        <v>6022.0</v>
      </c>
      <c r="Q473" s="11">
        <v>6020.0</v>
      </c>
      <c r="R473" s="11">
        <v>13.5</v>
      </c>
      <c r="S473" s="10"/>
      <c r="T473" s="10"/>
      <c r="U473" s="10"/>
      <c r="V473" s="10"/>
      <c r="W473" s="10"/>
      <c r="X473" s="10"/>
      <c r="Y473" s="10"/>
    </row>
    <row r="474">
      <c r="A474" s="10" t="s">
        <v>3050</v>
      </c>
      <c r="B474" s="11">
        <v>936094.0</v>
      </c>
      <c r="C474" s="10" t="s">
        <v>20</v>
      </c>
      <c r="D474" s="9" t="s">
        <v>3051</v>
      </c>
      <c r="E474" s="10" t="s">
        <v>3052</v>
      </c>
      <c r="F474" s="11">
        <v>936094.0</v>
      </c>
      <c r="G474" s="10"/>
      <c r="H474" s="10" t="s">
        <v>3053</v>
      </c>
      <c r="I474" s="10" t="s">
        <v>3054</v>
      </c>
      <c r="J474" s="10" t="s">
        <v>3055</v>
      </c>
      <c r="K474" s="10" t="s">
        <v>3055</v>
      </c>
      <c r="L474" s="10" t="s">
        <v>3055</v>
      </c>
      <c r="M474" s="11">
        <v>1997.0</v>
      </c>
      <c r="N474" s="10" t="s">
        <v>3056</v>
      </c>
      <c r="O474" s="10" t="s">
        <v>3056</v>
      </c>
      <c r="P474" s="11">
        <v>6159.0</v>
      </c>
      <c r="Q474" s="11">
        <v>5084.0</v>
      </c>
      <c r="R474" s="11">
        <v>13.0</v>
      </c>
      <c r="S474" s="10"/>
      <c r="T474" s="10"/>
      <c r="U474" s="10"/>
      <c r="V474" s="10"/>
      <c r="W474" s="10"/>
      <c r="X474" s="10"/>
      <c r="Y474" s="10"/>
    </row>
    <row r="475">
      <c r="A475" s="10" t="s">
        <v>3057</v>
      </c>
      <c r="B475" s="11">
        <v>924654.0</v>
      </c>
      <c r="C475" s="10" t="s">
        <v>20</v>
      </c>
      <c r="D475" s="9" t="s">
        <v>3058</v>
      </c>
      <c r="E475" s="10" t="s">
        <v>3059</v>
      </c>
      <c r="F475" s="11">
        <v>924654.0</v>
      </c>
      <c r="G475" s="10"/>
      <c r="H475" s="10" t="s">
        <v>3060</v>
      </c>
      <c r="I475" s="10" t="s">
        <v>3061</v>
      </c>
      <c r="J475" s="10" t="s">
        <v>3062</v>
      </c>
      <c r="K475" s="10" t="s">
        <v>3062</v>
      </c>
      <c r="L475" s="10"/>
      <c r="M475" s="11">
        <v>1998.0</v>
      </c>
      <c r="N475" s="10" t="s">
        <v>3063</v>
      </c>
      <c r="O475" s="10" t="s">
        <v>3063</v>
      </c>
      <c r="P475" s="11">
        <v>8731.0</v>
      </c>
      <c r="Q475" s="11">
        <v>2836.0</v>
      </c>
      <c r="R475" s="11">
        <v>7.0</v>
      </c>
      <c r="S475" s="10"/>
      <c r="T475" s="10"/>
      <c r="U475" s="10"/>
      <c r="V475" s="10"/>
      <c r="W475" s="10"/>
      <c r="X475" s="10"/>
      <c r="Y475" s="10"/>
    </row>
    <row r="476">
      <c r="A476" s="10" t="s">
        <v>3064</v>
      </c>
      <c r="B476" s="11">
        <v>1724570.0</v>
      </c>
      <c r="C476" s="8" t="s">
        <v>762</v>
      </c>
      <c r="D476" s="9" t="s">
        <v>3065</v>
      </c>
      <c r="E476" s="10" t="s">
        <v>3066</v>
      </c>
      <c r="F476" s="11">
        <v>1724570.0</v>
      </c>
      <c r="G476" s="10"/>
      <c r="H476" s="10" t="s">
        <v>3067</v>
      </c>
      <c r="I476" s="10" t="s">
        <v>3068</v>
      </c>
      <c r="J476" s="10" t="s">
        <v>3069</v>
      </c>
      <c r="K476" s="10" t="s">
        <v>3069</v>
      </c>
      <c r="L476" s="10" t="s">
        <v>3069</v>
      </c>
      <c r="M476" s="11">
        <v>2020.0</v>
      </c>
      <c r="N476" s="10" t="s">
        <v>3070</v>
      </c>
      <c r="O476" s="10" t="s">
        <v>3070</v>
      </c>
      <c r="P476" s="11">
        <v>7372.0</v>
      </c>
      <c r="Q476" s="11">
        <v>7370.0</v>
      </c>
      <c r="R476" s="11">
        <v>27.0</v>
      </c>
      <c r="S476" s="10"/>
      <c r="T476" s="10"/>
      <c r="U476" s="10"/>
      <c r="V476" s="10"/>
      <c r="W476" s="10"/>
      <c r="X476" s="10"/>
      <c r="Y476" s="10"/>
    </row>
    <row r="477">
      <c r="A477" s="10" t="s">
        <v>3071</v>
      </c>
      <c r="B477" s="11">
        <v>1095157.0</v>
      </c>
      <c r="C477" s="8" t="s">
        <v>762</v>
      </c>
      <c r="D477" s="9" t="s">
        <v>3072</v>
      </c>
      <c r="E477" s="10" t="s">
        <v>3073</v>
      </c>
      <c r="F477" s="11">
        <v>1095157.0</v>
      </c>
      <c r="G477" s="10"/>
      <c r="H477" s="10" t="s">
        <v>3074</v>
      </c>
      <c r="I477" s="10" t="s">
        <v>3075</v>
      </c>
      <c r="J477" s="10" t="s">
        <v>3076</v>
      </c>
      <c r="K477" s="10" t="s">
        <v>3076</v>
      </c>
      <c r="L477" s="10" t="s">
        <v>3076</v>
      </c>
      <c r="M477" s="11">
        <v>2000.0</v>
      </c>
      <c r="N477" s="10" t="s">
        <v>3077</v>
      </c>
      <c r="O477" s="10" t="s">
        <v>3077</v>
      </c>
      <c r="P477" s="11">
        <v>7372.0</v>
      </c>
      <c r="Q477" s="11">
        <v>7372.0</v>
      </c>
      <c r="R477" s="11">
        <v>16.0</v>
      </c>
      <c r="S477" s="10"/>
      <c r="T477" s="10"/>
      <c r="U477" s="10"/>
      <c r="V477" s="10"/>
      <c r="W477" s="10"/>
      <c r="X477" s="10"/>
      <c r="Y477" s="10"/>
    </row>
    <row r="478">
      <c r="A478" s="10" t="s">
        <v>3078</v>
      </c>
      <c r="B478" s="11">
        <v>1517375.0</v>
      </c>
      <c r="C478" s="10" t="s">
        <v>20</v>
      </c>
      <c r="D478" s="9" t="s">
        <v>3079</v>
      </c>
      <c r="E478" s="10" t="s">
        <v>3080</v>
      </c>
      <c r="F478" s="11">
        <v>1517375.0</v>
      </c>
      <c r="G478" s="11">
        <v>1517375.0</v>
      </c>
      <c r="H478" s="10" t="s">
        <v>3081</v>
      </c>
      <c r="I478" s="10" t="s">
        <v>3082</v>
      </c>
      <c r="J478" s="10" t="s">
        <v>3083</v>
      </c>
      <c r="K478" s="10" t="s">
        <v>3083</v>
      </c>
      <c r="L478" s="10" t="s">
        <v>3083</v>
      </c>
      <c r="M478" s="11">
        <v>2019.0</v>
      </c>
      <c r="N478" s="10" t="s">
        <v>3084</v>
      </c>
      <c r="O478" s="10" t="s">
        <v>3084</v>
      </c>
      <c r="P478" s="11">
        <v>7372.0</v>
      </c>
      <c r="Q478" s="11">
        <v>7370.0</v>
      </c>
      <c r="R478" s="11">
        <v>17.0</v>
      </c>
      <c r="S478" s="10"/>
      <c r="T478" s="10"/>
      <c r="U478" s="10"/>
      <c r="V478" s="10"/>
      <c r="W478" s="10"/>
      <c r="X478" s="10"/>
      <c r="Y478" s="10"/>
    </row>
    <row r="479">
      <c r="A479" s="10" t="s">
        <v>3085</v>
      </c>
      <c r="B479" s="11">
        <v>1007992.0</v>
      </c>
      <c r="C479" s="10" t="s">
        <v>20</v>
      </c>
      <c r="D479" s="9" t="s">
        <v>3086</v>
      </c>
      <c r="E479" s="10" t="s">
        <v>3087</v>
      </c>
      <c r="F479" s="11">
        <v>1007992.0</v>
      </c>
      <c r="G479" s="10"/>
      <c r="H479" s="10" t="s">
        <v>3088</v>
      </c>
      <c r="I479" s="10" t="s">
        <v>3089</v>
      </c>
      <c r="J479" s="10" t="s">
        <v>3090</v>
      </c>
      <c r="K479" s="10" t="s">
        <v>3091</v>
      </c>
      <c r="L479" s="10" t="s">
        <v>1590</v>
      </c>
      <c r="M479" s="11">
        <v>1996.0</v>
      </c>
      <c r="N479" s="10" t="s">
        <v>3092</v>
      </c>
      <c r="O479" s="10" t="s">
        <v>3092</v>
      </c>
      <c r="P479" s="11">
        <v>7375.0</v>
      </c>
      <c r="Q479" s="11">
        <v>7370.0</v>
      </c>
      <c r="R479" s="11">
        <v>16.0</v>
      </c>
      <c r="S479" s="10"/>
      <c r="T479" s="10"/>
      <c r="U479" s="10"/>
      <c r="V479" s="10"/>
      <c r="W479" s="10"/>
      <c r="X479" s="10"/>
      <c r="Y479" s="10"/>
    </row>
    <row r="480">
      <c r="A480" s="10" t="s">
        <v>3093</v>
      </c>
      <c r="B480" s="11">
        <v>1571498.0</v>
      </c>
      <c r="C480" s="10" t="s">
        <v>20</v>
      </c>
      <c r="D480" s="9" t="s">
        <v>3094</v>
      </c>
      <c r="E480" s="10" t="s">
        <v>3095</v>
      </c>
      <c r="F480" s="11">
        <v>1571498.0</v>
      </c>
      <c r="G480" s="10"/>
      <c r="H480" s="10" t="s">
        <v>3096</v>
      </c>
      <c r="I480" s="10" t="s">
        <v>3097</v>
      </c>
      <c r="J480" s="10" t="s">
        <v>3098</v>
      </c>
      <c r="K480" s="10" t="s">
        <v>3098</v>
      </c>
      <c r="L480" s="10" t="s">
        <v>3098</v>
      </c>
      <c r="M480" s="11">
        <v>2013.0</v>
      </c>
      <c r="N480" s="10" t="s">
        <v>3099</v>
      </c>
      <c r="O480" s="10" t="s">
        <v>3099</v>
      </c>
      <c r="P480" s="11">
        <v>8731.0</v>
      </c>
      <c r="Q480" s="11">
        <v>2836.0</v>
      </c>
      <c r="R480" s="11">
        <v>15.0</v>
      </c>
      <c r="S480" s="10"/>
      <c r="T480" s="10"/>
      <c r="U480" s="10"/>
      <c r="V480" s="10"/>
      <c r="W480" s="10"/>
      <c r="X480" s="10"/>
      <c r="Y480" s="10"/>
    </row>
    <row r="481">
      <c r="A481" s="10" t="s">
        <v>3100</v>
      </c>
      <c r="B481" s="11">
        <v>1401521.0</v>
      </c>
      <c r="C481" s="10" t="s">
        <v>20</v>
      </c>
      <c r="D481" s="9" t="s">
        <v>3101</v>
      </c>
      <c r="E481" s="10" t="s">
        <v>3102</v>
      </c>
      <c r="F481" s="11">
        <v>1401521.0</v>
      </c>
      <c r="G481" s="10"/>
      <c r="H481" s="10" t="s">
        <v>3103</v>
      </c>
      <c r="I481" s="10" t="s">
        <v>3104</v>
      </c>
      <c r="J481" s="10" t="s">
        <v>3105</v>
      </c>
      <c r="K481" s="10" t="s">
        <v>3106</v>
      </c>
      <c r="L481" s="10" t="s">
        <v>3105</v>
      </c>
      <c r="M481" s="11">
        <v>2012.0</v>
      </c>
      <c r="N481" s="10"/>
      <c r="O481" s="10"/>
      <c r="P481" s="11">
        <v>6331.0</v>
      </c>
      <c r="Q481" s="11">
        <v>6331.0</v>
      </c>
      <c r="R481" s="11">
        <v>5.15</v>
      </c>
      <c r="S481" s="10"/>
      <c r="T481" s="10"/>
      <c r="U481" s="10"/>
      <c r="V481" s="10"/>
      <c r="W481" s="10"/>
      <c r="X481" s="10"/>
      <c r="Y481" s="10"/>
    </row>
    <row r="482">
      <c r="A482" s="10" t="s">
        <v>3107</v>
      </c>
      <c r="B482" s="11">
        <v>1786205.0</v>
      </c>
      <c r="C482" s="10" t="s">
        <v>20</v>
      </c>
      <c r="D482" s="9" t="s">
        <v>3108</v>
      </c>
      <c r="E482" s="10" t="s">
        <v>3109</v>
      </c>
      <c r="F482" s="11">
        <v>1786205.0</v>
      </c>
      <c r="G482" s="11">
        <v>1786205.0</v>
      </c>
      <c r="H482" s="10" t="s">
        <v>3110</v>
      </c>
      <c r="I482" s="10" t="s">
        <v>3111</v>
      </c>
      <c r="J482" s="10" t="s">
        <v>3112</v>
      </c>
      <c r="K482" s="10" t="s">
        <v>3112</v>
      </c>
      <c r="L482" s="10" t="s">
        <v>3112</v>
      </c>
      <c r="M482" s="11">
        <v>2022.0</v>
      </c>
      <c r="N482" s="10" t="s">
        <v>3113</v>
      </c>
      <c r="O482" s="10" t="s">
        <v>3113</v>
      </c>
      <c r="P482" s="11">
        <v>8731.0</v>
      </c>
      <c r="Q482" s="11">
        <v>2836.0</v>
      </c>
      <c r="R482" s="11">
        <v>15.0</v>
      </c>
      <c r="S482" s="10"/>
      <c r="T482" s="10"/>
      <c r="U482" s="10"/>
      <c r="V482" s="10"/>
      <c r="W482" s="10"/>
      <c r="X482" s="10"/>
      <c r="Y482" s="10"/>
    </row>
    <row r="483">
      <c r="A483" s="10" t="s">
        <v>3114</v>
      </c>
      <c r="B483" s="11">
        <v>1418091.0</v>
      </c>
      <c r="C483" s="10" t="s">
        <v>20</v>
      </c>
      <c r="D483" s="9" t="s">
        <v>3115</v>
      </c>
      <c r="E483" s="10" t="s">
        <v>3116</v>
      </c>
      <c r="F483" s="11">
        <v>1418091.0</v>
      </c>
      <c r="G483" s="10"/>
      <c r="H483" s="10" t="s">
        <v>3117</v>
      </c>
      <c r="I483" s="10" t="s">
        <v>3118</v>
      </c>
      <c r="J483" s="10" t="s">
        <v>3119</v>
      </c>
      <c r="K483" s="10" t="s">
        <v>3119</v>
      </c>
      <c r="L483" s="10" t="s">
        <v>3119</v>
      </c>
      <c r="M483" s="11">
        <v>2013.0</v>
      </c>
      <c r="N483" s="10" t="s">
        <v>3120</v>
      </c>
      <c r="O483" s="10" t="s">
        <v>3120</v>
      </c>
      <c r="P483" s="11">
        <v>7375.0</v>
      </c>
      <c r="Q483" s="11">
        <v>7370.0</v>
      </c>
      <c r="R483" s="11">
        <v>26.0</v>
      </c>
      <c r="S483" s="10"/>
      <c r="T483" s="10"/>
      <c r="U483" s="10"/>
      <c r="V483" s="10"/>
      <c r="W483" s="10"/>
      <c r="X483" s="10"/>
      <c r="Y483" s="10"/>
    </row>
    <row r="484">
      <c r="A484" s="10" t="s">
        <v>3121</v>
      </c>
      <c r="B484" s="11">
        <v>1059363.0</v>
      </c>
      <c r="C484" s="10" t="s">
        <v>20</v>
      </c>
      <c r="D484" s="9" t="s">
        <v>3122</v>
      </c>
      <c r="E484" s="10" t="s">
        <v>3123</v>
      </c>
      <c r="F484" s="11">
        <v>1059363.0</v>
      </c>
      <c r="G484" s="10"/>
      <c r="H484" s="10" t="s">
        <v>3124</v>
      </c>
      <c r="I484" s="10" t="s">
        <v>3125</v>
      </c>
      <c r="J484" s="10" t="s">
        <v>3126</v>
      </c>
      <c r="K484" s="10" t="s">
        <v>3127</v>
      </c>
      <c r="L484" s="10" t="s">
        <v>3126</v>
      </c>
      <c r="M484" s="11">
        <v>1998.0</v>
      </c>
      <c r="N484" s="10" t="s">
        <v>3128</v>
      </c>
      <c r="O484" s="10" t="s">
        <v>3128</v>
      </c>
      <c r="P484" s="11">
        <v>7376.0</v>
      </c>
      <c r="Q484" s="11">
        <v>2750.0</v>
      </c>
      <c r="R484" s="11">
        <v>10.0</v>
      </c>
      <c r="S484" s="10"/>
      <c r="T484" s="10"/>
      <c r="U484" s="10"/>
      <c r="V484" s="10"/>
      <c r="W484" s="10"/>
      <c r="X484" s="10"/>
      <c r="Y484" s="10"/>
    </row>
    <row r="485">
      <c r="A485" s="10" t="s">
        <v>3129</v>
      </c>
      <c r="B485" s="11">
        <v>1090445.0</v>
      </c>
      <c r="C485" s="10" t="s">
        <v>20</v>
      </c>
      <c r="D485" s="9" t="s">
        <v>3130</v>
      </c>
      <c r="E485" s="10" t="s">
        <v>3131</v>
      </c>
      <c r="F485" s="11">
        <v>1090445.0</v>
      </c>
      <c r="G485" s="10"/>
      <c r="H485" s="10" t="s">
        <v>3132</v>
      </c>
      <c r="I485" s="10" t="s">
        <v>3133</v>
      </c>
      <c r="J485" s="10" t="s">
        <v>3134</v>
      </c>
      <c r="K485" s="10" t="s">
        <v>3135</v>
      </c>
      <c r="L485" s="10"/>
      <c r="M485" s="11">
        <v>1999.0</v>
      </c>
      <c r="N485" s="10" t="s">
        <v>3136</v>
      </c>
      <c r="O485" s="10" t="s">
        <v>3136</v>
      </c>
      <c r="P485" s="11">
        <v>6531.0</v>
      </c>
      <c r="Q485" s="11">
        <v>6531.0</v>
      </c>
      <c r="R485" s="11">
        <v>15.0</v>
      </c>
      <c r="S485" s="10"/>
      <c r="T485" s="10"/>
      <c r="U485" s="10"/>
      <c r="V485" s="10"/>
      <c r="W485" s="10"/>
      <c r="X485" s="10"/>
      <c r="Y485" s="10"/>
    </row>
    <row r="486">
      <c r="A486" s="10" t="s">
        <v>3137</v>
      </c>
      <c r="B486" s="11">
        <v>1008826.0</v>
      </c>
      <c r="C486" s="10" t="s">
        <v>20</v>
      </c>
      <c r="D486" s="9" t="s">
        <v>3138</v>
      </c>
      <c r="E486" s="10"/>
      <c r="F486" s="10"/>
      <c r="G486" s="10"/>
      <c r="H486" s="10" t="s">
        <v>3139</v>
      </c>
      <c r="I486" s="10" t="s">
        <v>3140</v>
      </c>
      <c r="J486" s="10" t="s">
        <v>3141</v>
      </c>
      <c r="K486" s="10"/>
      <c r="L486" s="10" t="s">
        <v>3141</v>
      </c>
      <c r="M486" s="11">
        <v>2003.0</v>
      </c>
      <c r="N486" s="10"/>
      <c r="O486" s="10"/>
      <c r="P486" s="11">
        <v>6311.0</v>
      </c>
      <c r="Q486" s="10"/>
      <c r="R486" s="11">
        <v>9.0</v>
      </c>
      <c r="S486" s="10"/>
      <c r="T486" s="10"/>
      <c r="U486" s="10"/>
      <c r="V486" s="10"/>
      <c r="W486" s="10"/>
      <c r="X486" s="10"/>
      <c r="Y486" s="10"/>
    </row>
    <row r="487">
      <c r="A487" s="10" t="s">
        <v>3142</v>
      </c>
      <c r="B487" s="11">
        <v>1782223.0</v>
      </c>
      <c r="C487" s="10" t="s">
        <v>20</v>
      </c>
      <c r="D487" s="9" t="s">
        <v>3143</v>
      </c>
      <c r="E487" s="10" t="s">
        <v>3144</v>
      </c>
      <c r="F487" s="11">
        <v>1782223.0</v>
      </c>
      <c r="G487" s="10"/>
      <c r="H487" s="10" t="s">
        <v>3145</v>
      </c>
      <c r="I487" s="10" t="s">
        <v>3146</v>
      </c>
      <c r="J487" s="10" t="s">
        <v>3147</v>
      </c>
      <c r="K487" s="10" t="s">
        <v>3148</v>
      </c>
      <c r="L487" s="10" t="s">
        <v>3147</v>
      </c>
      <c r="M487" s="11">
        <v>2021.0</v>
      </c>
      <c r="N487" s="10" t="s">
        <v>3149</v>
      </c>
      <c r="O487" s="10" t="s">
        <v>3149</v>
      </c>
      <c r="P487" s="11">
        <v>8731.0</v>
      </c>
      <c r="Q487" s="11">
        <v>2836.0</v>
      </c>
      <c r="R487" s="11">
        <v>16.0</v>
      </c>
      <c r="S487" s="10"/>
      <c r="T487" s="10"/>
      <c r="U487" s="10"/>
      <c r="V487" s="10"/>
      <c r="W487" s="10"/>
      <c r="X487" s="10"/>
      <c r="Y487" s="10"/>
    </row>
    <row r="488">
      <c r="A488" s="10" t="s">
        <v>3150</v>
      </c>
      <c r="B488" s="11">
        <v>1060523.0</v>
      </c>
      <c r="C488" s="10" t="s">
        <v>20</v>
      </c>
      <c r="D488" s="9" t="s">
        <v>2712</v>
      </c>
      <c r="E488" s="10" t="s">
        <v>3151</v>
      </c>
      <c r="F488" s="11">
        <v>1060523.0</v>
      </c>
      <c r="G488" s="10"/>
      <c r="H488" s="10" t="s">
        <v>3152</v>
      </c>
      <c r="I488" s="10" t="s">
        <v>3153</v>
      </c>
      <c r="J488" s="10" t="s">
        <v>3154</v>
      </c>
      <c r="K488" s="10" t="s">
        <v>3154</v>
      </c>
      <c r="L488" s="10" t="s">
        <v>3154</v>
      </c>
      <c r="M488" s="11">
        <v>1998.0</v>
      </c>
      <c r="N488" s="10" t="s">
        <v>3155</v>
      </c>
      <c r="O488" s="10" t="s">
        <v>3155</v>
      </c>
      <c r="P488" s="11">
        <v>6021.0</v>
      </c>
      <c r="Q488" s="11">
        <v>6020.0</v>
      </c>
      <c r="R488" s="11">
        <v>10.0</v>
      </c>
      <c r="S488" s="10"/>
      <c r="T488" s="10"/>
      <c r="U488" s="10"/>
      <c r="V488" s="10"/>
      <c r="W488" s="10"/>
      <c r="X488" s="10"/>
      <c r="Y488" s="10"/>
    </row>
    <row r="489">
      <c r="A489" s="10" t="s">
        <v>3156</v>
      </c>
      <c r="B489" s="11">
        <v>920909.0</v>
      </c>
      <c r="C489" s="10" t="s">
        <v>20</v>
      </c>
      <c r="D489" s="9" t="s">
        <v>3157</v>
      </c>
      <c r="E489" s="10"/>
      <c r="F489" s="10"/>
      <c r="G489" s="10"/>
      <c r="H489" s="10" t="s">
        <v>3158</v>
      </c>
      <c r="I489" s="10" t="s">
        <v>3159</v>
      </c>
      <c r="J489" s="10" t="s">
        <v>3160</v>
      </c>
      <c r="K489" s="10"/>
      <c r="L489" s="10" t="s">
        <v>3160</v>
      </c>
      <c r="M489" s="11">
        <v>1994.0</v>
      </c>
      <c r="N489" s="10"/>
      <c r="O489" s="10"/>
      <c r="P489" s="11">
        <v>7372.0</v>
      </c>
      <c r="Q489" s="10"/>
      <c r="R489" s="11">
        <v>5.25</v>
      </c>
      <c r="S489" s="10"/>
      <c r="T489" s="10"/>
      <c r="U489" s="10"/>
      <c r="V489" s="10"/>
      <c r="W489" s="10"/>
      <c r="X489" s="10"/>
      <c r="Y489" s="10"/>
    </row>
    <row r="490">
      <c r="A490" s="10" t="s">
        <v>3161</v>
      </c>
      <c r="B490" s="11">
        <v>1180079.0</v>
      </c>
      <c r="C490" s="10" t="s">
        <v>20</v>
      </c>
      <c r="D490" s="9" t="s">
        <v>3162</v>
      </c>
      <c r="E490" s="10" t="s">
        <v>3163</v>
      </c>
      <c r="F490" s="11">
        <v>1180079.0</v>
      </c>
      <c r="G490" s="10"/>
      <c r="H490" s="10" t="s">
        <v>3164</v>
      </c>
      <c r="I490" s="10" t="s">
        <v>3165</v>
      </c>
      <c r="J490" s="10" t="s">
        <v>3166</v>
      </c>
      <c r="K490" s="10" t="s">
        <v>3166</v>
      </c>
      <c r="L490" s="10" t="s">
        <v>3166</v>
      </c>
      <c r="M490" s="11">
        <v>2013.0</v>
      </c>
      <c r="N490" s="10" t="s">
        <v>3167</v>
      </c>
      <c r="O490" s="10" t="s">
        <v>3167</v>
      </c>
      <c r="P490" s="11">
        <v>7373.0</v>
      </c>
      <c r="Q490" s="11">
        <v>3576.0</v>
      </c>
      <c r="R490" s="11">
        <v>17.0</v>
      </c>
      <c r="S490" s="10"/>
      <c r="T490" s="10"/>
      <c r="U490" s="10"/>
      <c r="V490" s="10"/>
      <c r="W490" s="10"/>
      <c r="X490" s="10"/>
      <c r="Y490" s="10"/>
    </row>
    <row r="491">
      <c r="A491" s="10" t="s">
        <v>3168</v>
      </c>
      <c r="B491" s="11">
        <v>945446.0</v>
      </c>
      <c r="C491" s="10" t="s">
        <v>20</v>
      </c>
      <c r="D491" s="9" t="s">
        <v>3169</v>
      </c>
      <c r="E491" s="10" t="s">
        <v>3170</v>
      </c>
      <c r="F491" s="11">
        <v>945446.0</v>
      </c>
      <c r="G491" s="10"/>
      <c r="H491" s="10" t="s">
        <v>3171</v>
      </c>
      <c r="I491" s="10" t="s">
        <v>3172</v>
      </c>
      <c r="J491" s="10" t="s">
        <v>3173</v>
      </c>
      <c r="K491" s="10" t="s">
        <v>3174</v>
      </c>
      <c r="L491" s="10" t="s">
        <v>3173</v>
      </c>
      <c r="M491" s="11">
        <v>1995.0</v>
      </c>
      <c r="N491" s="10" t="s">
        <v>3175</v>
      </c>
      <c r="O491" s="10" t="s">
        <v>3175</v>
      </c>
      <c r="P491" s="11">
        <v>7372.0</v>
      </c>
      <c r="Q491" s="11">
        <v>7372.0</v>
      </c>
      <c r="R491" s="11">
        <v>11.0</v>
      </c>
      <c r="S491" s="10"/>
      <c r="T491" s="10"/>
      <c r="U491" s="10"/>
      <c r="V491" s="10"/>
      <c r="W491" s="10"/>
      <c r="X491" s="10"/>
      <c r="Y491" s="10"/>
    </row>
    <row r="492">
      <c r="A492" s="10" t="s">
        <v>3176</v>
      </c>
      <c r="B492" s="11">
        <v>812890.0</v>
      </c>
      <c r="C492" s="10" t="s">
        <v>20</v>
      </c>
      <c r="D492" s="9" t="s">
        <v>3177</v>
      </c>
      <c r="E492" s="10" t="s">
        <v>3178</v>
      </c>
      <c r="F492" s="11">
        <v>812890.0</v>
      </c>
      <c r="G492" s="10"/>
      <c r="H492" s="10" t="s">
        <v>3179</v>
      </c>
      <c r="I492" s="10" t="s">
        <v>3180</v>
      </c>
      <c r="J492" s="10" t="s">
        <v>3181</v>
      </c>
      <c r="K492" s="10" t="s">
        <v>3181</v>
      </c>
      <c r="L492" s="10" t="s">
        <v>3181</v>
      </c>
      <c r="M492" s="11">
        <v>1997.0</v>
      </c>
      <c r="N492" s="10" t="s">
        <v>3182</v>
      </c>
      <c r="O492" s="10" t="s">
        <v>3182</v>
      </c>
      <c r="P492" s="11">
        <v>7383.0</v>
      </c>
      <c r="Q492" s="11">
        <v>7380.0</v>
      </c>
      <c r="R492" s="11">
        <v>9.0</v>
      </c>
      <c r="S492" s="10"/>
      <c r="T492" s="10"/>
      <c r="U492" s="10"/>
      <c r="V492" s="10"/>
      <c r="W492" s="10"/>
      <c r="X492" s="10"/>
      <c r="Y492" s="10"/>
    </row>
    <row r="493">
      <c r="A493" s="10" t="s">
        <v>3183</v>
      </c>
      <c r="B493" s="11">
        <v>1045445.0</v>
      </c>
      <c r="C493" s="8" t="s">
        <v>762</v>
      </c>
      <c r="D493" s="9" t="s">
        <v>3184</v>
      </c>
      <c r="E493" s="10" t="s">
        <v>3185</v>
      </c>
      <c r="F493" s="11">
        <v>1045445.0</v>
      </c>
      <c r="G493" s="10"/>
      <c r="H493" s="10" t="s">
        <v>3186</v>
      </c>
      <c r="I493" s="10" t="s">
        <v>3187</v>
      </c>
      <c r="J493" s="10" t="s">
        <v>3188</v>
      </c>
      <c r="K493" s="10" t="s">
        <v>3188</v>
      </c>
      <c r="L493" s="10" t="s">
        <v>3188</v>
      </c>
      <c r="M493" s="11">
        <v>1997.0</v>
      </c>
      <c r="N493" s="10" t="s">
        <v>3189</v>
      </c>
      <c r="O493" s="10" t="s">
        <v>3189</v>
      </c>
      <c r="P493" s="11">
        <v>7371.0</v>
      </c>
      <c r="Q493" s="11">
        <v>7370.0</v>
      </c>
      <c r="R493" s="11">
        <v>10.0</v>
      </c>
      <c r="S493" s="10"/>
      <c r="T493" s="10"/>
      <c r="U493" s="10"/>
      <c r="V493" s="10"/>
      <c r="W493" s="10"/>
      <c r="X493" s="10"/>
      <c r="Y493" s="10"/>
    </row>
    <row r="494">
      <c r="A494" s="10" t="s">
        <v>3190</v>
      </c>
      <c r="B494" s="11">
        <v>1516513.0</v>
      </c>
      <c r="C494" s="10" t="s">
        <v>20</v>
      </c>
      <c r="D494" s="9" t="s">
        <v>3191</v>
      </c>
      <c r="E494" s="10" t="s">
        <v>3192</v>
      </c>
      <c r="F494" s="11">
        <v>1516513.0</v>
      </c>
      <c r="G494" s="11">
        <v>1516513.0</v>
      </c>
      <c r="H494" s="10" t="s">
        <v>3193</v>
      </c>
      <c r="I494" s="10" t="s">
        <v>3194</v>
      </c>
      <c r="J494" s="10" t="s">
        <v>3195</v>
      </c>
      <c r="K494" s="10" t="s">
        <v>3195</v>
      </c>
      <c r="L494" s="10" t="s">
        <v>3195</v>
      </c>
      <c r="M494" s="11">
        <v>2021.0</v>
      </c>
      <c r="N494" s="10" t="s">
        <v>3196</v>
      </c>
      <c r="O494" s="10" t="s">
        <v>3196</v>
      </c>
      <c r="P494" s="11">
        <v>7372.0</v>
      </c>
      <c r="Q494" s="11">
        <v>7370.0</v>
      </c>
      <c r="R494" s="11">
        <v>26.0</v>
      </c>
      <c r="S494" s="10"/>
      <c r="T494" s="10"/>
      <c r="U494" s="10"/>
      <c r="V494" s="10"/>
      <c r="W494" s="10"/>
      <c r="X494" s="10"/>
      <c r="Y494" s="10"/>
    </row>
    <row r="495">
      <c r="A495" s="10" t="s">
        <v>3197</v>
      </c>
      <c r="B495" s="11">
        <v>1404296.0</v>
      </c>
      <c r="C495" s="10" t="s">
        <v>20</v>
      </c>
      <c r="D495" s="9" t="s">
        <v>2712</v>
      </c>
      <c r="E495" s="10"/>
      <c r="F495" s="10"/>
      <c r="G495" s="10"/>
      <c r="H495" s="10" t="s">
        <v>3198</v>
      </c>
      <c r="I495" s="10" t="s">
        <v>3199</v>
      </c>
      <c r="J495" s="10" t="s">
        <v>3200</v>
      </c>
      <c r="K495" s="10"/>
      <c r="L495" s="10" t="s">
        <v>3200</v>
      </c>
      <c r="M495" s="11">
        <v>2011.0</v>
      </c>
      <c r="N495" s="10"/>
      <c r="O495" s="10"/>
      <c r="P495" s="11">
        <v>6035.0</v>
      </c>
      <c r="Q495" s="10"/>
      <c r="R495" s="11">
        <v>10.0</v>
      </c>
      <c r="S495" s="10"/>
      <c r="T495" s="10"/>
      <c r="U495" s="10"/>
      <c r="V495" s="10"/>
      <c r="W495" s="10"/>
      <c r="X495" s="10"/>
      <c r="Y495" s="10"/>
    </row>
    <row r="496">
      <c r="A496" s="10" t="s">
        <v>3201</v>
      </c>
      <c r="B496" s="11">
        <v>1447051.0</v>
      </c>
      <c r="C496" s="10" t="s">
        <v>20</v>
      </c>
      <c r="D496" s="9" t="s">
        <v>2712</v>
      </c>
      <c r="E496" s="10" t="s">
        <v>3202</v>
      </c>
      <c r="F496" s="11">
        <v>1447051.0</v>
      </c>
      <c r="G496" s="10"/>
      <c r="H496" s="10" t="s">
        <v>3203</v>
      </c>
      <c r="I496" s="10" t="s">
        <v>3204</v>
      </c>
      <c r="J496" s="10" t="s">
        <v>3205</v>
      </c>
      <c r="K496" s="10" t="s">
        <v>3205</v>
      </c>
      <c r="L496" s="10" t="s">
        <v>3205</v>
      </c>
      <c r="M496" s="11">
        <v>2009.0</v>
      </c>
      <c r="N496" s="10" t="s">
        <v>3206</v>
      </c>
      <c r="O496" s="10" t="s">
        <v>3206</v>
      </c>
      <c r="P496" s="11">
        <v>6021.0</v>
      </c>
      <c r="Q496" s="11">
        <v>6036.0</v>
      </c>
      <c r="R496" s="11">
        <v>10.0</v>
      </c>
      <c r="S496" s="10"/>
      <c r="T496" s="10"/>
      <c r="U496" s="10"/>
      <c r="V496" s="10"/>
      <c r="W496" s="10"/>
      <c r="X496" s="10"/>
      <c r="Y496" s="10"/>
    </row>
    <row r="497">
      <c r="A497" s="10" t="s">
        <v>3207</v>
      </c>
      <c r="B497" s="11">
        <v>916238.0</v>
      </c>
      <c r="C497" s="10" t="s">
        <v>20</v>
      </c>
      <c r="D497" s="9" t="s">
        <v>3208</v>
      </c>
      <c r="E497" s="10" t="s">
        <v>3209</v>
      </c>
      <c r="F497" s="11">
        <v>916238.0</v>
      </c>
      <c r="G497" s="11">
        <v>1779474.0</v>
      </c>
      <c r="H497" s="10" t="s">
        <v>3210</v>
      </c>
      <c r="I497" s="10" t="s">
        <v>3211</v>
      </c>
      <c r="J497" s="10" t="s">
        <v>3212</v>
      </c>
      <c r="K497" s="10" t="s">
        <v>3213</v>
      </c>
      <c r="L497" s="10" t="s">
        <v>3212</v>
      </c>
      <c r="M497" s="11">
        <v>1994.0</v>
      </c>
      <c r="N497" s="10" t="s">
        <v>3214</v>
      </c>
      <c r="O497" s="10" t="s">
        <v>3214</v>
      </c>
      <c r="P497" s="11">
        <v>7372.0</v>
      </c>
      <c r="Q497" s="11">
        <v>7372.0</v>
      </c>
      <c r="R497" s="11">
        <v>19.0</v>
      </c>
      <c r="S497" s="10"/>
      <c r="T497" s="10"/>
      <c r="U497" s="10"/>
      <c r="V497" s="10"/>
      <c r="W497" s="10"/>
      <c r="X497" s="10"/>
      <c r="Y497" s="10"/>
    </row>
    <row r="498">
      <c r="A498" s="10" t="s">
        <v>3215</v>
      </c>
      <c r="B498" s="11">
        <v>1444598.0</v>
      </c>
      <c r="C498" s="10" t="s">
        <v>20</v>
      </c>
      <c r="D498" s="9" t="s">
        <v>3216</v>
      </c>
      <c r="E498" s="10" t="s">
        <v>3217</v>
      </c>
      <c r="F498" s="11">
        <v>1444598.0</v>
      </c>
      <c r="G498" s="11">
        <v>1834253.0</v>
      </c>
      <c r="H498" s="10" t="s">
        <v>3218</v>
      </c>
      <c r="I498" s="10" t="s">
        <v>3219</v>
      </c>
      <c r="J498" s="10" t="s">
        <v>3220</v>
      </c>
      <c r="K498" s="10" t="s">
        <v>3221</v>
      </c>
      <c r="L498" s="10" t="s">
        <v>3220</v>
      </c>
      <c r="M498" s="11">
        <v>2009.0</v>
      </c>
      <c r="N498" s="10" t="s">
        <v>3222</v>
      </c>
      <c r="O498" s="10" t="s">
        <v>3222</v>
      </c>
      <c r="P498" s="11">
        <v>7372.0</v>
      </c>
      <c r="Q498" s="11">
        <v>7374.0</v>
      </c>
      <c r="R498" s="11">
        <v>15.5</v>
      </c>
      <c r="S498" s="10"/>
      <c r="T498" s="10"/>
      <c r="U498" s="10"/>
      <c r="V498" s="10"/>
      <c r="W498" s="10"/>
      <c r="X498" s="10"/>
      <c r="Y498" s="10"/>
    </row>
    <row r="499">
      <c r="A499" s="10" t="s">
        <v>3223</v>
      </c>
      <c r="B499" s="11">
        <v>1310114.0</v>
      </c>
      <c r="C499" s="10" t="s">
        <v>20</v>
      </c>
      <c r="D499" s="9" t="s">
        <v>3224</v>
      </c>
      <c r="E499" s="10" t="s">
        <v>3225</v>
      </c>
      <c r="F499" s="11">
        <v>1310114.0</v>
      </c>
      <c r="G499" s="10"/>
      <c r="H499" s="10" t="s">
        <v>3226</v>
      </c>
      <c r="I499" s="10" t="s">
        <v>3227</v>
      </c>
      <c r="J499" s="10" t="s">
        <v>3228</v>
      </c>
      <c r="K499" s="10" t="s">
        <v>3228</v>
      </c>
      <c r="L499" s="10" t="s">
        <v>3228</v>
      </c>
      <c r="M499" s="11">
        <v>2011.0</v>
      </c>
      <c r="N499" s="10" t="s">
        <v>3229</v>
      </c>
      <c r="O499" s="10" t="s">
        <v>3229</v>
      </c>
      <c r="P499" s="11">
        <v>7374.0</v>
      </c>
      <c r="Q499" s="11">
        <v>7370.0</v>
      </c>
      <c r="R499" s="11">
        <v>10.0</v>
      </c>
      <c r="S499" s="10"/>
      <c r="T499" s="10"/>
      <c r="U499" s="10"/>
      <c r="V499" s="10"/>
      <c r="W499" s="10"/>
      <c r="X499" s="10"/>
      <c r="Y499" s="10"/>
    </row>
    <row r="500">
      <c r="A500" s="10" t="s">
        <v>3230</v>
      </c>
      <c r="B500" s="11">
        <v>1003114.0</v>
      </c>
      <c r="C500" s="10" t="s">
        <v>20</v>
      </c>
      <c r="D500" s="9" t="s">
        <v>3231</v>
      </c>
      <c r="E500" s="10" t="s">
        <v>3232</v>
      </c>
      <c r="F500" s="11">
        <v>1003114.0</v>
      </c>
      <c r="G500" s="10"/>
      <c r="H500" s="10" t="s">
        <v>3233</v>
      </c>
      <c r="I500" s="10" t="s">
        <v>3234</v>
      </c>
      <c r="J500" s="10" t="s">
        <v>3235</v>
      </c>
      <c r="K500" s="10" t="s">
        <v>3236</v>
      </c>
      <c r="L500" s="10" t="s">
        <v>3235</v>
      </c>
      <c r="M500" s="11">
        <v>1996.0</v>
      </c>
      <c r="N500" s="10" t="s">
        <v>3237</v>
      </c>
      <c r="O500" s="10" t="s">
        <v>3237</v>
      </c>
      <c r="P500" s="11">
        <v>8732.0</v>
      </c>
      <c r="Q500" s="11">
        <v>8071.0</v>
      </c>
      <c r="R500" s="11">
        <v>13.0</v>
      </c>
      <c r="S500" s="10"/>
      <c r="T500" s="10"/>
      <c r="U500" s="10"/>
      <c r="V500" s="10"/>
      <c r="W500" s="10"/>
      <c r="X500" s="10"/>
      <c r="Y500" s="10"/>
    </row>
    <row r="501">
      <c r="A501" s="10" t="s">
        <v>3238</v>
      </c>
      <c r="B501" s="11">
        <v>859360.0</v>
      </c>
      <c r="C501" s="8" t="s">
        <v>762</v>
      </c>
      <c r="D501" s="9" t="s">
        <v>3239</v>
      </c>
      <c r="E501" s="10" t="s">
        <v>3240</v>
      </c>
      <c r="F501" s="11">
        <v>859360.0</v>
      </c>
      <c r="G501" s="10"/>
      <c r="H501" s="10" t="s">
        <v>3241</v>
      </c>
      <c r="I501" s="10" t="s">
        <v>3242</v>
      </c>
      <c r="J501" s="10" t="s">
        <v>3243</v>
      </c>
      <c r="K501" s="10" t="s">
        <v>3244</v>
      </c>
      <c r="L501" s="10" t="s">
        <v>3243</v>
      </c>
      <c r="M501" s="11">
        <v>1995.0</v>
      </c>
      <c r="N501" s="10" t="s">
        <v>3245</v>
      </c>
      <c r="O501" s="10" t="s">
        <v>3245</v>
      </c>
      <c r="P501" s="11">
        <v>7372.0</v>
      </c>
      <c r="Q501" s="11">
        <v>7372.0</v>
      </c>
      <c r="R501" s="11">
        <v>19.0</v>
      </c>
      <c r="S501" s="10"/>
      <c r="T501" s="10"/>
      <c r="U501" s="10"/>
      <c r="V501" s="10"/>
      <c r="W501" s="10"/>
      <c r="X501" s="10"/>
      <c r="Y501" s="10"/>
    </row>
    <row r="502">
      <c r="A502" s="10" t="s">
        <v>3246</v>
      </c>
      <c r="B502" s="11">
        <v>1071923.0</v>
      </c>
      <c r="C502" s="10" t="s">
        <v>20</v>
      </c>
      <c r="D502" s="9" t="s">
        <v>3247</v>
      </c>
      <c r="E502" s="10" t="s">
        <v>3248</v>
      </c>
      <c r="F502" s="11">
        <v>1071923.0</v>
      </c>
      <c r="G502" s="10"/>
      <c r="H502" s="10" t="s">
        <v>3249</v>
      </c>
      <c r="I502" s="10" t="s">
        <v>3250</v>
      </c>
      <c r="J502" s="10" t="s">
        <v>3251</v>
      </c>
      <c r="K502" s="10" t="s">
        <v>3252</v>
      </c>
      <c r="L502" s="10" t="s">
        <v>3251</v>
      </c>
      <c r="M502" s="11">
        <v>1996.0</v>
      </c>
      <c r="N502" s="10" t="s">
        <v>3253</v>
      </c>
      <c r="O502" s="10" t="s">
        <v>3253</v>
      </c>
      <c r="P502" s="11">
        <v>7375.0</v>
      </c>
      <c r="Q502" s="11">
        <v>7370.0</v>
      </c>
      <c r="R502" s="11">
        <v>12.0</v>
      </c>
      <c r="S502" s="10"/>
      <c r="T502" s="10"/>
      <c r="U502" s="10"/>
      <c r="V502" s="10"/>
      <c r="W502" s="10"/>
      <c r="X502" s="10"/>
      <c r="Y502" s="10"/>
    </row>
    <row r="503">
      <c r="A503" s="10" t="s">
        <v>3254</v>
      </c>
      <c r="B503" s="11">
        <v>946014.0</v>
      </c>
      <c r="C503" s="10" t="s">
        <v>20</v>
      </c>
      <c r="D503" s="9" t="s">
        <v>3255</v>
      </c>
      <c r="E503" s="10" t="s">
        <v>3256</v>
      </c>
      <c r="F503" s="11">
        <v>946014.0</v>
      </c>
      <c r="G503" s="10"/>
      <c r="H503" s="10" t="s">
        <v>3257</v>
      </c>
      <c r="I503" s="10" t="s">
        <v>3258</v>
      </c>
      <c r="J503" s="10" t="s">
        <v>3259</v>
      </c>
      <c r="K503" s="10" t="s">
        <v>3259</v>
      </c>
      <c r="L503" s="10"/>
      <c r="M503" s="11">
        <v>1995.0</v>
      </c>
      <c r="N503" s="10" t="s">
        <v>3260</v>
      </c>
      <c r="O503" s="10" t="s">
        <v>3260</v>
      </c>
      <c r="P503" s="11">
        <v>6141.0</v>
      </c>
      <c r="Q503" s="11">
        <v>6141.0</v>
      </c>
      <c r="R503" s="11">
        <v>12.0</v>
      </c>
      <c r="S503" s="10"/>
      <c r="T503" s="10"/>
      <c r="U503" s="10"/>
      <c r="V503" s="10"/>
      <c r="W503" s="10"/>
      <c r="X503" s="10"/>
      <c r="Y503" s="10"/>
    </row>
    <row r="504">
      <c r="A504" s="10" t="s">
        <v>3261</v>
      </c>
      <c r="B504" s="11">
        <v>1062515.0</v>
      </c>
      <c r="C504" s="10" t="s">
        <v>20</v>
      </c>
      <c r="D504" s="9" t="s">
        <v>3262</v>
      </c>
      <c r="E504" s="10" t="s">
        <v>3263</v>
      </c>
      <c r="F504" s="11">
        <v>1062515.0</v>
      </c>
      <c r="G504" s="10"/>
      <c r="H504" s="10" t="s">
        <v>3264</v>
      </c>
      <c r="I504" s="10" t="s">
        <v>3265</v>
      </c>
      <c r="J504" s="10" t="s">
        <v>3266</v>
      </c>
      <c r="K504" s="10" t="s">
        <v>3267</v>
      </c>
      <c r="L504" s="10" t="s">
        <v>3266</v>
      </c>
      <c r="M504" s="11">
        <v>1998.0</v>
      </c>
      <c r="N504" s="10" t="s">
        <v>3268</v>
      </c>
      <c r="O504" s="10" t="s">
        <v>3268</v>
      </c>
      <c r="P504" s="11">
        <v>7359.0</v>
      </c>
      <c r="Q504" s="11">
        <v>7350.0</v>
      </c>
      <c r="R504" s="11">
        <v>8.0</v>
      </c>
      <c r="S504" s="10"/>
      <c r="T504" s="10"/>
      <c r="U504" s="10"/>
      <c r="V504" s="10"/>
      <c r="W504" s="10"/>
      <c r="X504" s="10"/>
      <c r="Y504" s="10"/>
    </row>
    <row r="505">
      <c r="A505" s="10" t="s">
        <v>3269</v>
      </c>
      <c r="B505" s="11">
        <v>945441.0</v>
      </c>
      <c r="C505" s="10" t="s">
        <v>20</v>
      </c>
      <c r="D505" s="9" t="s">
        <v>3270</v>
      </c>
      <c r="E505" s="10" t="s">
        <v>3271</v>
      </c>
      <c r="F505" s="11">
        <v>945441.0</v>
      </c>
      <c r="G505" s="10"/>
      <c r="H505" s="10" t="s">
        <v>3272</v>
      </c>
      <c r="I505" s="10" t="s">
        <v>3273</v>
      </c>
      <c r="J505" s="10" t="s">
        <v>3274</v>
      </c>
      <c r="K505" s="10" t="s">
        <v>3275</v>
      </c>
      <c r="L505" s="10" t="s">
        <v>3276</v>
      </c>
      <c r="M505" s="11">
        <v>1995.0</v>
      </c>
      <c r="N505" s="10" t="s">
        <v>47</v>
      </c>
      <c r="O505" s="10" t="s">
        <v>47</v>
      </c>
      <c r="P505" s="11">
        <v>7372.0</v>
      </c>
      <c r="Q505" s="11">
        <v>3825.0</v>
      </c>
      <c r="R505" s="11">
        <v>11.0</v>
      </c>
      <c r="S505" s="10"/>
      <c r="T505" s="10"/>
      <c r="U505" s="10"/>
      <c r="V505" s="10"/>
      <c r="W505" s="10"/>
      <c r="X505" s="10"/>
      <c r="Y505" s="10"/>
    </row>
    <row r="506">
      <c r="A506" s="10" t="s">
        <v>3277</v>
      </c>
      <c r="B506" s="11">
        <v>1131096.0</v>
      </c>
      <c r="C506" s="10" t="s">
        <v>20</v>
      </c>
      <c r="D506" s="9" t="s">
        <v>3278</v>
      </c>
      <c r="E506" s="10" t="s">
        <v>3279</v>
      </c>
      <c r="F506" s="11">
        <v>1131096.0</v>
      </c>
      <c r="G506" s="10"/>
      <c r="H506" s="10" t="s">
        <v>3280</v>
      </c>
      <c r="I506" s="10" t="s">
        <v>3281</v>
      </c>
      <c r="J506" s="10" t="s">
        <v>3282</v>
      </c>
      <c r="K506" s="10" t="s">
        <v>3283</v>
      </c>
      <c r="L506" s="10" t="s">
        <v>3282</v>
      </c>
      <c r="M506" s="11">
        <v>2007.0</v>
      </c>
      <c r="N506" s="10" t="s">
        <v>3284</v>
      </c>
      <c r="O506" s="10" t="s">
        <v>3284</v>
      </c>
      <c r="P506" s="11">
        <v>7372.0</v>
      </c>
      <c r="Q506" s="11">
        <v>7370.0</v>
      </c>
      <c r="R506" s="11">
        <v>18.0</v>
      </c>
      <c r="S506" s="10"/>
      <c r="T506" s="10"/>
      <c r="U506" s="10"/>
      <c r="V506" s="10"/>
      <c r="W506" s="10"/>
      <c r="X506" s="10"/>
      <c r="Y506" s="10"/>
    </row>
    <row r="507">
      <c r="A507" s="10" t="s">
        <v>3285</v>
      </c>
      <c r="B507" s="11">
        <v>1289001.0</v>
      </c>
      <c r="C507" s="10" t="s">
        <v>20</v>
      </c>
      <c r="D507" s="9" t="s">
        <v>3286</v>
      </c>
      <c r="E507" s="10" t="s">
        <v>3287</v>
      </c>
      <c r="F507" s="11">
        <v>1289001.0</v>
      </c>
      <c r="G507" s="10"/>
      <c r="H507" s="10" t="s">
        <v>3288</v>
      </c>
      <c r="I507" s="10" t="s">
        <v>3289</v>
      </c>
      <c r="J507" s="10" t="s">
        <v>3290</v>
      </c>
      <c r="K507" s="10" t="s">
        <v>3290</v>
      </c>
      <c r="L507" s="10" t="s">
        <v>3290</v>
      </c>
      <c r="M507" s="11">
        <v>2004.0</v>
      </c>
      <c r="N507" s="10" t="s">
        <v>3291</v>
      </c>
      <c r="O507" s="10" t="s">
        <v>3291</v>
      </c>
      <c r="P507" s="11">
        <v>7379.0</v>
      </c>
      <c r="Q507" s="11">
        <v>7389.0</v>
      </c>
      <c r="R507" s="11">
        <v>7.0</v>
      </c>
      <c r="S507" s="10"/>
      <c r="T507" s="10"/>
      <c r="U507" s="10"/>
      <c r="V507" s="10"/>
      <c r="W507" s="10"/>
      <c r="X507" s="10"/>
      <c r="Y507" s="10"/>
    </row>
    <row r="508">
      <c r="A508" s="10" t="s">
        <v>3292</v>
      </c>
      <c r="B508" s="11">
        <v>920990.0</v>
      </c>
      <c r="C508" s="10" t="s">
        <v>20</v>
      </c>
      <c r="D508" s="9" t="s">
        <v>3293</v>
      </c>
      <c r="E508" s="10"/>
      <c r="F508" s="10"/>
      <c r="G508" s="10"/>
      <c r="H508" s="10" t="s">
        <v>3294</v>
      </c>
      <c r="I508" s="10" t="s">
        <v>3295</v>
      </c>
      <c r="J508" s="10" t="s">
        <v>3296</v>
      </c>
      <c r="K508" s="10"/>
      <c r="L508" s="10" t="s">
        <v>3296</v>
      </c>
      <c r="M508" s="11">
        <v>1996.0</v>
      </c>
      <c r="N508" s="10"/>
      <c r="O508" s="10"/>
      <c r="P508" s="11">
        <v>7389.0</v>
      </c>
      <c r="Q508" s="10"/>
      <c r="R508" s="11">
        <v>8.5</v>
      </c>
      <c r="S508" s="10"/>
      <c r="T508" s="10"/>
      <c r="U508" s="10"/>
      <c r="V508" s="10"/>
      <c r="W508" s="10"/>
      <c r="X508" s="10"/>
      <c r="Y508" s="10"/>
    </row>
    <row r="509">
      <c r="A509" s="10" t="s">
        <v>3297</v>
      </c>
      <c r="B509" s="11">
        <v>1546296.0</v>
      </c>
      <c r="C509" s="10" t="s">
        <v>20</v>
      </c>
      <c r="D509" s="9" t="s">
        <v>3298</v>
      </c>
      <c r="E509" s="10"/>
      <c r="F509" s="10"/>
      <c r="G509" s="11">
        <v>1546296.0</v>
      </c>
      <c r="H509" s="10" t="s">
        <v>3299</v>
      </c>
      <c r="I509" s="10" t="s">
        <v>3300</v>
      </c>
      <c r="J509" s="10" t="s">
        <v>3301</v>
      </c>
      <c r="K509" s="10"/>
      <c r="L509" s="10" t="s">
        <v>3301</v>
      </c>
      <c r="M509" s="11">
        <v>2013.0</v>
      </c>
      <c r="N509" s="10"/>
      <c r="O509" s="10"/>
      <c r="P509" s="11">
        <v>7375.0</v>
      </c>
      <c r="Q509" s="10"/>
      <c r="R509" s="11">
        <v>8.0</v>
      </c>
      <c r="S509" s="10"/>
      <c r="T509" s="10"/>
      <c r="U509" s="10"/>
      <c r="V509" s="10"/>
      <c r="W509" s="10"/>
      <c r="X509" s="10"/>
      <c r="Y509" s="10"/>
    </row>
    <row r="510">
      <c r="A510" s="10" t="s">
        <v>3302</v>
      </c>
      <c r="B510" s="11">
        <v>918381.0</v>
      </c>
      <c r="C510" s="10" t="s">
        <v>20</v>
      </c>
      <c r="D510" s="9" t="s">
        <v>3303</v>
      </c>
      <c r="E510" s="10" t="s">
        <v>3304</v>
      </c>
      <c r="F510" s="11">
        <v>918381.0</v>
      </c>
      <c r="G510" s="10"/>
      <c r="H510" s="10" t="s">
        <v>3305</v>
      </c>
      <c r="I510" s="10" t="s">
        <v>3306</v>
      </c>
      <c r="J510" s="10" t="s">
        <v>3307</v>
      </c>
      <c r="K510" s="10" t="s">
        <v>3307</v>
      </c>
      <c r="L510" s="10" t="s">
        <v>3307</v>
      </c>
      <c r="M510" s="11">
        <v>1994.0</v>
      </c>
      <c r="N510" s="10" t="s">
        <v>3308</v>
      </c>
      <c r="O510" s="10" t="s">
        <v>3308</v>
      </c>
      <c r="P510" s="11">
        <v>7373.0</v>
      </c>
      <c r="Q510" s="11">
        <v>3825.0</v>
      </c>
      <c r="R510" s="11">
        <v>11.0</v>
      </c>
      <c r="S510" s="10"/>
      <c r="T510" s="10"/>
      <c r="U510" s="10"/>
      <c r="V510" s="10"/>
      <c r="W510" s="10"/>
      <c r="X510" s="10"/>
      <c r="Y510" s="10"/>
    </row>
    <row r="511">
      <c r="A511" s="10" t="s">
        <v>3309</v>
      </c>
      <c r="B511" s="11">
        <v>1107050.0</v>
      </c>
      <c r="C511" s="8" t="s">
        <v>762</v>
      </c>
      <c r="D511" s="9" t="s">
        <v>3310</v>
      </c>
      <c r="E511" s="10" t="s">
        <v>3311</v>
      </c>
      <c r="F511" s="11">
        <v>1107050.0</v>
      </c>
      <c r="G511" s="10"/>
      <c r="H511" s="10" t="s">
        <v>3312</v>
      </c>
      <c r="I511" s="10" t="s">
        <v>3313</v>
      </c>
      <c r="J511" s="10" t="s">
        <v>3314</v>
      </c>
      <c r="K511" s="10" t="s">
        <v>3314</v>
      </c>
      <c r="L511" s="10" t="s">
        <v>3314</v>
      </c>
      <c r="M511" s="11">
        <v>2000.0</v>
      </c>
      <c r="N511" s="10" t="s">
        <v>3315</v>
      </c>
      <c r="O511" s="10" t="s">
        <v>3315</v>
      </c>
      <c r="P511" s="11">
        <v>7372.0</v>
      </c>
      <c r="Q511" s="11">
        <v>7372.0</v>
      </c>
      <c r="R511" s="11">
        <v>10.0</v>
      </c>
      <c r="S511" s="10"/>
      <c r="T511" s="10"/>
      <c r="U511" s="10"/>
      <c r="V511" s="10"/>
      <c r="W511" s="10"/>
      <c r="X511" s="10"/>
      <c r="Y511" s="10"/>
    </row>
    <row r="512">
      <c r="A512" s="10" t="s">
        <v>3316</v>
      </c>
      <c r="B512" s="11">
        <v>1711291.0</v>
      </c>
      <c r="C512" s="24" t="s">
        <v>749</v>
      </c>
      <c r="D512" s="9" t="s">
        <v>3317</v>
      </c>
      <c r="E512" s="10" t="s">
        <v>3318</v>
      </c>
      <c r="F512" s="11">
        <v>1711291.0</v>
      </c>
      <c r="G512" s="10"/>
      <c r="H512" s="10" t="s">
        <v>3319</v>
      </c>
      <c r="I512" s="10" t="s">
        <v>3320</v>
      </c>
      <c r="J512" s="10" t="s">
        <v>3321</v>
      </c>
      <c r="K512" s="10" t="s">
        <v>3322</v>
      </c>
      <c r="L512" s="10" t="s">
        <v>3321</v>
      </c>
      <c r="M512" s="11">
        <v>2017.0</v>
      </c>
      <c r="N512" s="10" t="s">
        <v>3323</v>
      </c>
      <c r="O512" s="10" t="s">
        <v>3323</v>
      </c>
      <c r="P512" s="11">
        <v>6289.0</v>
      </c>
      <c r="Q512" s="11">
        <v>6141.0</v>
      </c>
      <c r="R512" s="11">
        <v>14.0</v>
      </c>
      <c r="S512" s="10"/>
      <c r="T512" s="10"/>
      <c r="U512" s="10"/>
      <c r="V512" s="10"/>
      <c r="W512" s="10"/>
      <c r="X512" s="10"/>
      <c r="Y512" s="10"/>
    </row>
    <row r="513">
      <c r="A513" s="10" t="s">
        <v>3324</v>
      </c>
      <c r="B513" s="11">
        <v>1032330.0</v>
      </c>
      <c r="C513" s="8" t="s">
        <v>762</v>
      </c>
      <c r="D513" s="9" t="s">
        <v>3325</v>
      </c>
      <c r="E513" s="10" t="s">
        <v>3326</v>
      </c>
      <c r="F513" s="11">
        <v>1032330.0</v>
      </c>
      <c r="G513" s="10"/>
      <c r="H513" s="10" t="s">
        <v>3327</v>
      </c>
      <c r="I513" s="10" t="s">
        <v>3328</v>
      </c>
      <c r="J513" s="10" t="s">
        <v>3329</v>
      </c>
      <c r="K513" s="10" t="s">
        <v>3329</v>
      </c>
      <c r="L513" s="10" t="s">
        <v>3329</v>
      </c>
      <c r="M513" s="11">
        <v>1997.0</v>
      </c>
      <c r="N513" s="10" t="s">
        <v>3330</v>
      </c>
      <c r="O513" s="10" t="s">
        <v>3330</v>
      </c>
      <c r="P513" s="11">
        <v>7371.0</v>
      </c>
      <c r="Q513" s="11">
        <v>7372.0</v>
      </c>
      <c r="R513" s="11">
        <v>16.0</v>
      </c>
      <c r="S513" s="10"/>
      <c r="T513" s="10"/>
      <c r="U513" s="10"/>
      <c r="V513" s="10"/>
      <c r="W513" s="10"/>
      <c r="X513" s="10"/>
      <c r="Y513" s="10"/>
    </row>
    <row r="514">
      <c r="A514" s="10" t="s">
        <v>3331</v>
      </c>
      <c r="B514" s="11">
        <v>1108924.0</v>
      </c>
      <c r="C514" s="8" t="s">
        <v>762</v>
      </c>
      <c r="D514" s="9" t="s">
        <v>3332</v>
      </c>
      <c r="E514" s="10" t="s">
        <v>3333</v>
      </c>
      <c r="F514" s="11">
        <v>1108924.0</v>
      </c>
      <c r="G514" s="10"/>
      <c r="H514" s="10" t="s">
        <v>3334</v>
      </c>
      <c r="I514" s="10" t="s">
        <v>3335</v>
      </c>
      <c r="J514" s="10" t="s">
        <v>3336</v>
      </c>
      <c r="K514" s="10" t="s">
        <v>3337</v>
      </c>
      <c r="L514" s="10" t="s">
        <v>3336</v>
      </c>
      <c r="M514" s="11">
        <v>2000.0</v>
      </c>
      <c r="N514" s="10" t="s">
        <v>3338</v>
      </c>
      <c r="O514" s="10" t="s">
        <v>3338</v>
      </c>
      <c r="P514" s="11">
        <v>7372.0</v>
      </c>
      <c r="Q514" s="11">
        <v>7372.0</v>
      </c>
      <c r="R514" s="11">
        <v>13.0</v>
      </c>
      <c r="S514" s="10"/>
      <c r="T514" s="10"/>
      <c r="U514" s="10"/>
      <c r="V514" s="10"/>
      <c r="W514" s="10"/>
      <c r="X514" s="10"/>
      <c r="Y514" s="10"/>
    </row>
    <row r="515">
      <c r="A515" s="10" t="s">
        <v>3339</v>
      </c>
      <c r="B515" s="11">
        <v>1184818.0</v>
      </c>
      <c r="C515" s="10" t="s">
        <v>20</v>
      </c>
      <c r="D515" s="9" t="s">
        <v>2712</v>
      </c>
      <c r="E515" s="10" t="s">
        <v>3340</v>
      </c>
      <c r="F515" s="11">
        <v>1184818.0</v>
      </c>
      <c r="G515" s="10"/>
      <c r="H515" s="10" t="s">
        <v>3341</v>
      </c>
      <c r="I515" s="10" t="s">
        <v>3342</v>
      </c>
      <c r="J515" s="10" t="s">
        <v>3343</v>
      </c>
      <c r="K515" s="10" t="s">
        <v>3343</v>
      </c>
      <c r="L515" s="10" t="s">
        <v>3343</v>
      </c>
      <c r="M515" s="11">
        <v>2002.0</v>
      </c>
      <c r="N515" s="10"/>
      <c r="O515" s="10"/>
      <c r="P515" s="11">
        <v>6021.0</v>
      </c>
      <c r="Q515" s="11">
        <v>6035.0</v>
      </c>
      <c r="R515" s="11">
        <v>8.0</v>
      </c>
      <c r="S515" s="10"/>
      <c r="T515" s="10"/>
      <c r="U515" s="10"/>
      <c r="V515" s="10"/>
      <c r="W515" s="10"/>
      <c r="X515" s="10"/>
      <c r="Y515" s="10"/>
    </row>
    <row r="516">
      <c r="A516" s="10" t="s">
        <v>3344</v>
      </c>
      <c r="B516" s="11">
        <v>1016831.0</v>
      </c>
      <c r="C516" s="8" t="s">
        <v>762</v>
      </c>
      <c r="D516" s="9" t="s">
        <v>3345</v>
      </c>
      <c r="E516" s="10" t="s">
        <v>3346</v>
      </c>
      <c r="F516" s="11">
        <v>1016831.0</v>
      </c>
      <c r="G516" s="10"/>
      <c r="H516" s="10" t="s">
        <v>3347</v>
      </c>
      <c r="I516" s="10" t="s">
        <v>3348</v>
      </c>
      <c r="J516" s="10" t="s">
        <v>3349</v>
      </c>
      <c r="K516" s="10" t="s">
        <v>3349</v>
      </c>
      <c r="L516" s="10" t="s">
        <v>3349</v>
      </c>
      <c r="M516" s="11">
        <v>1996.0</v>
      </c>
      <c r="N516" s="10" t="s">
        <v>409</v>
      </c>
      <c r="O516" s="10" t="s">
        <v>409</v>
      </c>
      <c r="P516" s="11">
        <v>7372.0</v>
      </c>
      <c r="Q516" s="11">
        <v>7372.0</v>
      </c>
      <c r="R516" s="11">
        <v>12.0</v>
      </c>
      <c r="S516" s="10"/>
      <c r="T516" s="10"/>
      <c r="U516" s="10"/>
      <c r="V516" s="10"/>
      <c r="W516" s="10"/>
      <c r="X516" s="10"/>
      <c r="Y516" s="10"/>
    </row>
    <row r="517">
      <c r="A517" s="10" t="s">
        <v>3350</v>
      </c>
      <c r="B517" s="11">
        <v>1212545.0</v>
      </c>
      <c r="C517" s="10" t="s">
        <v>20</v>
      </c>
      <c r="D517" s="9" t="s">
        <v>2712</v>
      </c>
      <c r="E517" s="10" t="s">
        <v>3351</v>
      </c>
      <c r="F517" s="11">
        <v>1212545.0</v>
      </c>
      <c r="G517" s="11">
        <v>1212545.0</v>
      </c>
      <c r="H517" s="10" t="s">
        <v>3352</v>
      </c>
      <c r="I517" s="10" t="s">
        <v>3353</v>
      </c>
      <c r="J517" s="10" t="s">
        <v>3354</v>
      </c>
      <c r="K517" s="10" t="s">
        <v>3354</v>
      </c>
      <c r="L517" s="10" t="s">
        <v>3354</v>
      </c>
      <c r="M517" s="11">
        <v>2005.0</v>
      </c>
      <c r="N517" s="10" t="s">
        <v>3355</v>
      </c>
      <c r="O517" s="10" t="s">
        <v>3355</v>
      </c>
      <c r="P517" s="11">
        <v>6022.0</v>
      </c>
      <c r="Q517" s="11">
        <v>6020.0</v>
      </c>
      <c r="R517" s="11">
        <v>22.0</v>
      </c>
      <c r="S517" s="10"/>
      <c r="T517" s="10"/>
      <c r="U517" s="10"/>
      <c r="V517" s="10"/>
      <c r="W517" s="10"/>
      <c r="X517" s="10"/>
      <c r="Y517" s="10"/>
    </row>
    <row r="518">
      <c r="A518" s="10" t="s">
        <v>3356</v>
      </c>
      <c r="B518" s="11">
        <v>1081630.0</v>
      </c>
      <c r="C518" s="10" t="s">
        <v>20</v>
      </c>
      <c r="D518" s="9" t="s">
        <v>3357</v>
      </c>
      <c r="E518" s="10" t="s">
        <v>3358</v>
      </c>
      <c r="F518" s="11">
        <v>1081630.0</v>
      </c>
      <c r="G518" s="10"/>
      <c r="H518" s="10" t="s">
        <v>3359</v>
      </c>
      <c r="I518" s="10" t="s">
        <v>3360</v>
      </c>
      <c r="J518" s="10" t="s">
        <v>3361</v>
      </c>
      <c r="K518" s="10" t="s">
        <v>3361</v>
      </c>
      <c r="L518" s="10" t="s">
        <v>3361</v>
      </c>
      <c r="M518" s="11">
        <v>2000.0</v>
      </c>
      <c r="N518" s="10" t="s">
        <v>3362</v>
      </c>
      <c r="O518" s="10" t="s">
        <v>3362</v>
      </c>
      <c r="P518" s="11">
        <v>7375.0</v>
      </c>
      <c r="Q518" s="11">
        <v>7370.0</v>
      </c>
      <c r="R518" s="11">
        <v>11.0</v>
      </c>
      <c r="S518" s="10"/>
      <c r="T518" s="10"/>
      <c r="U518" s="10"/>
      <c r="V518" s="10"/>
      <c r="W518" s="10"/>
      <c r="X518" s="10"/>
      <c r="Y518" s="10"/>
    </row>
    <row r="519">
      <c r="A519" s="10" t="s">
        <v>3363</v>
      </c>
      <c r="B519" s="11">
        <v>1004963.0</v>
      </c>
      <c r="C519" s="8" t="s">
        <v>762</v>
      </c>
      <c r="D519" s="9" t="s">
        <v>3364</v>
      </c>
      <c r="E519" s="10"/>
      <c r="F519" s="10"/>
      <c r="G519" s="10"/>
      <c r="H519" s="10" t="s">
        <v>3365</v>
      </c>
      <c r="I519" s="10" t="s">
        <v>3366</v>
      </c>
      <c r="J519" s="10" t="s">
        <v>3367</v>
      </c>
      <c r="K519" s="10"/>
      <c r="L519" s="10" t="s">
        <v>3367</v>
      </c>
      <c r="M519" s="11">
        <v>1996.0</v>
      </c>
      <c r="N519" s="10"/>
      <c r="O519" s="10"/>
      <c r="P519" s="11">
        <v>7373.0</v>
      </c>
      <c r="Q519" s="10"/>
      <c r="R519" s="11">
        <v>9.0</v>
      </c>
      <c r="S519" s="10"/>
      <c r="T519" s="10"/>
      <c r="U519" s="10"/>
      <c r="V519" s="10"/>
      <c r="W519" s="10"/>
      <c r="X519" s="10"/>
      <c r="Y519" s="10"/>
    </row>
    <row r="520">
      <c r="A520" s="10" t="s">
        <v>3368</v>
      </c>
      <c r="B520" s="11">
        <v>1487712.0</v>
      </c>
      <c r="C520" s="10" t="s">
        <v>20</v>
      </c>
      <c r="D520" s="9" t="s">
        <v>3369</v>
      </c>
      <c r="E520" s="10" t="s">
        <v>3370</v>
      </c>
      <c r="F520" s="11">
        <v>1487712.0</v>
      </c>
      <c r="G520" s="11">
        <v>1487712.0</v>
      </c>
      <c r="H520" s="10" t="s">
        <v>3371</v>
      </c>
      <c r="I520" s="10" t="s">
        <v>3372</v>
      </c>
      <c r="J520" s="10" t="s">
        <v>3373</v>
      </c>
      <c r="K520" s="10" t="s">
        <v>3373</v>
      </c>
      <c r="L520" s="10" t="s">
        <v>3373</v>
      </c>
      <c r="M520" s="11">
        <v>2011.0</v>
      </c>
      <c r="N520" s="10" t="s">
        <v>3374</v>
      </c>
      <c r="O520" s="10" t="s">
        <v>3374</v>
      </c>
      <c r="P520" s="11">
        <v>7359.0</v>
      </c>
      <c r="Q520" s="11">
        <v>7359.0</v>
      </c>
      <c r="R520" s="11">
        <v>26.5</v>
      </c>
      <c r="S520" s="10"/>
      <c r="T520" s="10"/>
      <c r="U520" s="10"/>
      <c r="V520" s="10"/>
      <c r="W520" s="10"/>
      <c r="X520" s="10"/>
      <c r="Y520" s="10"/>
    </row>
    <row r="521">
      <c r="A521" s="10" t="s">
        <v>3375</v>
      </c>
      <c r="B521" s="11">
        <v>1013687.0</v>
      </c>
      <c r="C521" s="24" t="s">
        <v>749</v>
      </c>
      <c r="D521" s="25" t="s">
        <v>3376</v>
      </c>
      <c r="E521" s="10"/>
      <c r="F521" s="10"/>
      <c r="G521" s="10"/>
      <c r="H521" s="10" t="s">
        <v>3377</v>
      </c>
      <c r="I521" s="10" t="s">
        <v>3378</v>
      </c>
      <c r="J521" s="10" t="s">
        <v>3379</v>
      </c>
      <c r="K521" s="10"/>
      <c r="L521" s="10" t="s">
        <v>3379</v>
      </c>
      <c r="M521" s="11">
        <v>1996.0</v>
      </c>
      <c r="N521" s="10"/>
      <c r="O521" s="10"/>
      <c r="P521" s="11">
        <v>7372.0</v>
      </c>
      <c r="Q521" s="10"/>
      <c r="R521" s="11">
        <v>12.0</v>
      </c>
      <c r="S521" s="10"/>
      <c r="T521" s="10"/>
      <c r="U521" s="10"/>
      <c r="V521" s="10"/>
      <c r="W521" s="10"/>
      <c r="X521" s="10"/>
      <c r="Y521" s="10"/>
    </row>
    <row r="522">
      <c r="A522" s="10" t="s">
        <v>3380</v>
      </c>
      <c r="B522" s="11">
        <v>1720420.0</v>
      </c>
      <c r="C522" s="8" t="s">
        <v>762</v>
      </c>
      <c r="D522" s="9" t="s">
        <v>3381</v>
      </c>
      <c r="E522" s="10" t="s">
        <v>3382</v>
      </c>
      <c r="F522" s="11">
        <v>1720420.0</v>
      </c>
      <c r="G522" s="11">
        <v>1720420.0</v>
      </c>
      <c r="H522" s="10" t="s">
        <v>3383</v>
      </c>
      <c r="I522" s="10" t="s">
        <v>3384</v>
      </c>
      <c r="J522" s="10" t="s">
        <v>3385</v>
      </c>
      <c r="K522" s="10" t="s">
        <v>3385</v>
      </c>
      <c r="L522" s="10" t="s">
        <v>3385</v>
      </c>
      <c r="M522" s="11">
        <v>2020.0</v>
      </c>
      <c r="N522" s="10" t="s">
        <v>3386</v>
      </c>
      <c r="O522" s="10" t="s">
        <v>3386</v>
      </c>
      <c r="P522" s="11">
        <v>7374.0</v>
      </c>
      <c r="Q522" s="11">
        <v>7370.0</v>
      </c>
      <c r="R522" s="11">
        <v>19.0</v>
      </c>
      <c r="S522" s="10"/>
      <c r="T522" s="10"/>
      <c r="U522" s="10"/>
      <c r="V522" s="10"/>
      <c r="W522" s="10"/>
      <c r="X522" s="10"/>
      <c r="Y522" s="10"/>
    </row>
    <row r="523">
      <c r="A523" s="10" t="s">
        <v>3387</v>
      </c>
      <c r="B523" s="11">
        <v>1131806.0</v>
      </c>
      <c r="C523" s="8" t="s">
        <v>762</v>
      </c>
      <c r="D523" s="9" t="s">
        <v>3388</v>
      </c>
      <c r="E523" s="10" t="s">
        <v>3389</v>
      </c>
      <c r="F523" s="11">
        <v>1131806.0</v>
      </c>
      <c r="G523" s="10"/>
      <c r="H523" s="10" t="s">
        <v>3390</v>
      </c>
      <c r="I523" s="10" t="s">
        <v>3391</v>
      </c>
      <c r="J523" s="10" t="s">
        <v>3392</v>
      </c>
      <c r="K523" s="10" t="s">
        <v>3393</v>
      </c>
      <c r="L523" s="10" t="s">
        <v>3392</v>
      </c>
      <c r="M523" s="11">
        <v>1999.0</v>
      </c>
      <c r="N523" s="10" t="s">
        <v>647</v>
      </c>
      <c r="O523" s="10" t="s">
        <v>647</v>
      </c>
      <c r="P523" s="11">
        <v>7372.0</v>
      </c>
      <c r="Q523" s="11">
        <v>7372.0</v>
      </c>
      <c r="R523" s="11">
        <v>21.0</v>
      </c>
      <c r="S523" s="10"/>
      <c r="T523" s="10"/>
      <c r="U523" s="10"/>
      <c r="V523" s="10"/>
      <c r="W523" s="10"/>
      <c r="X523" s="10"/>
      <c r="Y523" s="10"/>
    </row>
    <row r="524">
      <c r="A524" s="10" t="s">
        <v>3394</v>
      </c>
      <c r="B524" s="11">
        <v>1105159.0</v>
      </c>
      <c r="C524" s="10" t="s">
        <v>20</v>
      </c>
      <c r="D524" s="9" t="s">
        <v>3395</v>
      </c>
      <c r="E524" s="10"/>
      <c r="F524" s="10"/>
      <c r="G524" s="10"/>
      <c r="H524" s="10" t="s">
        <v>3396</v>
      </c>
      <c r="I524" s="10" t="s">
        <v>3397</v>
      </c>
      <c r="J524" s="10" t="s">
        <v>3398</v>
      </c>
      <c r="K524" s="10"/>
      <c r="L524" s="10" t="s">
        <v>3398</v>
      </c>
      <c r="M524" s="11">
        <v>2008.0</v>
      </c>
      <c r="N524" s="10"/>
      <c r="O524" s="10"/>
      <c r="P524" s="11">
        <v>8731.0</v>
      </c>
      <c r="Q524" s="10"/>
      <c r="R524" s="11">
        <v>5.25</v>
      </c>
      <c r="S524" s="10"/>
      <c r="T524" s="10"/>
      <c r="U524" s="10"/>
      <c r="V524" s="10"/>
      <c r="W524" s="10"/>
      <c r="X524" s="10"/>
      <c r="Y524" s="10"/>
    </row>
    <row r="525">
      <c r="A525" s="10" t="s">
        <v>3399</v>
      </c>
      <c r="B525" s="11">
        <v>1081393.0</v>
      </c>
      <c r="C525" s="24" t="s">
        <v>749</v>
      </c>
      <c r="D525" s="9" t="s">
        <v>3400</v>
      </c>
      <c r="E525" s="10" t="s">
        <v>3401</v>
      </c>
      <c r="F525" s="11">
        <v>1081393.0</v>
      </c>
      <c r="G525" s="10"/>
      <c r="H525" s="10" t="s">
        <v>3402</v>
      </c>
      <c r="I525" s="10" t="s">
        <v>3403</v>
      </c>
      <c r="J525" s="10" t="s">
        <v>3404</v>
      </c>
      <c r="K525" s="10" t="s">
        <v>3404</v>
      </c>
      <c r="L525" s="10" t="s">
        <v>3404</v>
      </c>
      <c r="M525" s="11">
        <v>1999.0</v>
      </c>
      <c r="N525" s="10" t="s">
        <v>3405</v>
      </c>
      <c r="O525" s="10" t="s">
        <v>3405</v>
      </c>
      <c r="P525" s="11">
        <v>7375.0</v>
      </c>
      <c r="Q525" s="11">
        <v>7370.0</v>
      </c>
      <c r="R525" s="11">
        <v>14.0</v>
      </c>
      <c r="S525" s="10"/>
      <c r="T525" s="10"/>
      <c r="U525" s="10"/>
      <c r="V525" s="10"/>
      <c r="W525" s="10"/>
      <c r="X525" s="10"/>
      <c r="Y525" s="10"/>
    </row>
    <row r="526">
      <c r="A526" s="10" t="s">
        <v>3406</v>
      </c>
      <c r="B526" s="11">
        <v>1075244.0</v>
      </c>
      <c r="C526" s="10" t="s">
        <v>20</v>
      </c>
      <c r="D526" s="9" t="s">
        <v>3407</v>
      </c>
      <c r="E526" s="10" t="s">
        <v>3408</v>
      </c>
      <c r="F526" s="11">
        <v>1075244.0</v>
      </c>
      <c r="G526" s="10"/>
      <c r="H526" s="10" t="s">
        <v>3409</v>
      </c>
      <c r="I526" s="10" t="s">
        <v>3410</v>
      </c>
      <c r="J526" s="10" t="s">
        <v>3411</v>
      </c>
      <c r="K526" s="10" t="s">
        <v>3412</v>
      </c>
      <c r="L526" s="10" t="s">
        <v>3411</v>
      </c>
      <c r="M526" s="11">
        <v>1999.0</v>
      </c>
      <c r="N526" s="10" t="s">
        <v>3413</v>
      </c>
      <c r="O526" s="10" t="s">
        <v>3413</v>
      </c>
      <c r="P526" s="11">
        <v>7372.0</v>
      </c>
      <c r="Q526" s="11">
        <v>7370.0</v>
      </c>
      <c r="R526" s="11">
        <v>13.0</v>
      </c>
      <c r="S526" s="10"/>
      <c r="T526" s="10"/>
      <c r="U526" s="10"/>
      <c r="V526" s="10"/>
      <c r="W526" s="10"/>
      <c r="X526" s="10"/>
      <c r="Y526" s="10"/>
    </row>
    <row r="527">
      <c r="A527" s="10" t="s">
        <v>3414</v>
      </c>
      <c r="B527" s="11">
        <v>948708.0</v>
      </c>
      <c r="C527" s="8" t="s">
        <v>762</v>
      </c>
      <c r="D527" s="9" t="s">
        <v>3415</v>
      </c>
      <c r="E527" s="10"/>
      <c r="F527" s="10"/>
      <c r="G527" s="11">
        <v>948708.0</v>
      </c>
      <c r="H527" s="10" t="s">
        <v>3416</v>
      </c>
      <c r="I527" s="10" t="s">
        <v>3417</v>
      </c>
      <c r="J527" s="10" t="s">
        <v>3418</v>
      </c>
      <c r="K527" s="10"/>
      <c r="L527" s="10" t="s">
        <v>3418</v>
      </c>
      <c r="M527" s="11">
        <v>1995.0</v>
      </c>
      <c r="N527" s="10"/>
      <c r="O527" s="10"/>
      <c r="P527" s="11">
        <v>7372.0</v>
      </c>
      <c r="Q527" s="10"/>
      <c r="R527" s="11">
        <v>12.0</v>
      </c>
      <c r="S527" s="10"/>
      <c r="T527" s="10"/>
      <c r="U527" s="10"/>
      <c r="V527" s="10"/>
      <c r="W527" s="10"/>
      <c r="X527" s="10"/>
      <c r="Y527" s="10"/>
    </row>
    <row r="528">
      <c r="A528" s="10" t="s">
        <v>3419</v>
      </c>
      <c r="B528" s="11">
        <v>883697.0</v>
      </c>
      <c r="C528" s="10" t="s">
        <v>20</v>
      </c>
      <c r="D528" s="9" t="s">
        <v>3420</v>
      </c>
      <c r="E528" s="10"/>
      <c r="F528" s="10"/>
      <c r="G528" s="10"/>
      <c r="H528" s="10" t="s">
        <v>3421</v>
      </c>
      <c r="I528" s="10" t="s">
        <v>3422</v>
      </c>
      <c r="J528" s="10" t="s">
        <v>3423</v>
      </c>
      <c r="K528" s="10"/>
      <c r="L528" s="10" t="s">
        <v>3423</v>
      </c>
      <c r="M528" s="11">
        <v>1996.0</v>
      </c>
      <c r="N528" s="10"/>
      <c r="O528" s="10"/>
      <c r="P528" s="11">
        <v>7373.0</v>
      </c>
      <c r="Q528" s="10"/>
      <c r="R528" s="11">
        <v>12.0</v>
      </c>
      <c r="S528" s="10"/>
      <c r="T528" s="10"/>
      <c r="U528" s="10"/>
      <c r="V528" s="10"/>
      <c r="W528" s="10"/>
      <c r="X528" s="10"/>
      <c r="Y528" s="10"/>
    </row>
    <row r="529">
      <c r="A529" s="10" t="s">
        <v>3424</v>
      </c>
      <c r="B529" s="11">
        <v>947549.0</v>
      </c>
      <c r="C529" s="8" t="s">
        <v>762</v>
      </c>
      <c r="D529" s="9" t="s">
        <v>3425</v>
      </c>
      <c r="E529" s="10" t="s">
        <v>3426</v>
      </c>
      <c r="F529" s="11">
        <v>947549.0</v>
      </c>
      <c r="G529" s="10"/>
      <c r="H529" s="10" t="s">
        <v>3427</v>
      </c>
      <c r="I529" s="10" t="s">
        <v>3428</v>
      </c>
      <c r="J529" s="10" t="s">
        <v>3429</v>
      </c>
      <c r="K529" s="10" t="s">
        <v>3430</v>
      </c>
      <c r="L529" s="10" t="s">
        <v>3429</v>
      </c>
      <c r="M529" s="11">
        <v>1995.0</v>
      </c>
      <c r="N529" s="10" t="s">
        <v>3431</v>
      </c>
      <c r="O529" s="10" t="s">
        <v>3431</v>
      </c>
      <c r="P529" s="11">
        <v>7372.0</v>
      </c>
      <c r="Q529" s="11">
        <v>7372.0</v>
      </c>
      <c r="R529" s="11">
        <v>12.0</v>
      </c>
      <c r="S529" s="10"/>
      <c r="T529" s="10"/>
      <c r="U529" s="10"/>
      <c r="V529" s="10"/>
      <c r="W529" s="10"/>
      <c r="X529" s="10"/>
      <c r="Y529" s="10"/>
    </row>
    <row r="530">
      <c r="A530" s="10" t="s">
        <v>3432</v>
      </c>
      <c r="B530" s="11">
        <v>1132327.0</v>
      </c>
      <c r="C530" s="24" t="s">
        <v>749</v>
      </c>
      <c r="D530" s="9" t="s">
        <v>3433</v>
      </c>
      <c r="E530" s="10" t="s">
        <v>3434</v>
      </c>
      <c r="F530" s="11">
        <v>1132327.0</v>
      </c>
      <c r="G530" s="10"/>
      <c r="H530" s="10" t="s">
        <v>3435</v>
      </c>
      <c r="I530" s="10" t="s">
        <v>3436</v>
      </c>
      <c r="J530" s="10" t="s">
        <v>3437</v>
      </c>
      <c r="K530" s="10" t="s">
        <v>3438</v>
      </c>
      <c r="L530" s="10" t="s">
        <v>3439</v>
      </c>
      <c r="M530" s="11">
        <v>2001.0</v>
      </c>
      <c r="N530" s="10" t="s">
        <v>3440</v>
      </c>
      <c r="O530" s="10" t="s">
        <v>3440</v>
      </c>
      <c r="P530" s="11">
        <v>6211.0</v>
      </c>
      <c r="Q530" s="11">
        <v>6211.0</v>
      </c>
      <c r="R530" s="11">
        <v>14.5</v>
      </c>
      <c r="S530" s="10"/>
      <c r="T530" s="10"/>
      <c r="U530" s="10"/>
      <c r="V530" s="10"/>
      <c r="W530" s="10"/>
      <c r="X530" s="10"/>
      <c r="Y530" s="10"/>
    </row>
    <row r="531">
      <c r="A531" s="10" t="s">
        <v>3441</v>
      </c>
      <c r="B531" s="11">
        <v>1469433.0</v>
      </c>
      <c r="C531" s="10" t="s">
        <v>20</v>
      </c>
      <c r="D531" s="9" t="s">
        <v>3442</v>
      </c>
      <c r="E531" s="10"/>
      <c r="F531" s="10"/>
      <c r="G531" s="10"/>
      <c r="H531" s="10" t="s">
        <v>3443</v>
      </c>
      <c r="I531" s="10" t="s">
        <v>3444</v>
      </c>
      <c r="J531" s="10" t="s">
        <v>1803</v>
      </c>
      <c r="K531" s="10"/>
      <c r="L531" s="10"/>
      <c r="M531" s="11">
        <v>2009.0</v>
      </c>
      <c r="N531" s="10"/>
      <c r="O531" s="10"/>
      <c r="P531" s="11">
        <v>7374.0</v>
      </c>
      <c r="Q531" s="10"/>
      <c r="R531" s="11">
        <v>13.5</v>
      </c>
      <c r="S531" s="10"/>
      <c r="T531" s="10"/>
      <c r="U531" s="10"/>
      <c r="V531" s="10"/>
      <c r="W531" s="10"/>
      <c r="X531" s="10"/>
      <c r="Y531" s="10"/>
    </row>
    <row r="532">
      <c r="A532" s="10" t="s">
        <v>3445</v>
      </c>
      <c r="B532" s="11">
        <v>880321.0</v>
      </c>
      <c r="C532" s="10" t="s">
        <v>20</v>
      </c>
      <c r="D532" s="9" t="s">
        <v>3446</v>
      </c>
      <c r="E532" s="10" t="s">
        <v>3447</v>
      </c>
      <c r="F532" s="11">
        <v>880321.0</v>
      </c>
      <c r="G532" s="10"/>
      <c r="H532" s="10" t="s">
        <v>3448</v>
      </c>
      <c r="I532" s="10" t="s">
        <v>3449</v>
      </c>
      <c r="J532" s="10" t="s">
        <v>3450</v>
      </c>
      <c r="K532" s="10" t="s">
        <v>3450</v>
      </c>
      <c r="L532" s="10" t="s">
        <v>3450</v>
      </c>
      <c r="M532" s="11">
        <v>1995.0</v>
      </c>
      <c r="N532" s="10" t="s">
        <v>3451</v>
      </c>
      <c r="O532" s="10" t="s">
        <v>3451</v>
      </c>
      <c r="P532" s="11">
        <v>7372.0</v>
      </c>
      <c r="Q532" s="11">
        <v>7372.0</v>
      </c>
      <c r="R532" s="11">
        <v>14.5</v>
      </c>
      <c r="S532" s="10"/>
      <c r="T532" s="10"/>
      <c r="U532" s="10"/>
      <c r="V532" s="10"/>
      <c r="W532" s="10"/>
      <c r="X532" s="10"/>
      <c r="Y532" s="10"/>
    </row>
    <row r="533">
      <c r="A533" s="10" t="s">
        <v>3452</v>
      </c>
      <c r="B533" s="11">
        <v>1085280.0</v>
      </c>
      <c r="C533" s="8" t="s">
        <v>762</v>
      </c>
      <c r="D533" s="9" t="s">
        <v>3453</v>
      </c>
      <c r="E533" s="10" t="s">
        <v>3454</v>
      </c>
      <c r="F533" s="11">
        <v>1085280.0</v>
      </c>
      <c r="G533" s="10"/>
      <c r="H533" s="10" t="s">
        <v>3455</v>
      </c>
      <c r="I533" s="10" t="s">
        <v>3456</v>
      </c>
      <c r="J533" s="10" t="s">
        <v>3457</v>
      </c>
      <c r="K533" s="10" t="s">
        <v>3457</v>
      </c>
      <c r="L533" s="10" t="s">
        <v>3439</v>
      </c>
      <c r="M533" s="11">
        <v>1999.0</v>
      </c>
      <c r="N533" s="10" t="s">
        <v>2555</v>
      </c>
      <c r="O533" s="10" t="s">
        <v>2555</v>
      </c>
      <c r="P533" s="11">
        <v>7372.0</v>
      </c>
      <c r="Q533" s="11">
        <v>7372.0</v>
      </c>
      <c r="R533" s="11">
        <v>15.0</v>
      </c>
      <c r="S533" s="10"/>
      <c r="T533" s="10"/>
      <c r="U533" s="10"/>
      <c r="V533" s="10"/>
      <c r="W533" s="10"/>
      <c r="X533" s="10"/>
      <c r="Y533" s="10"/>
    </row>
    <row r="534">
      <c r="A534" s="10" t="s">
        <v>3458</v>
      </c>
      <c r="B534" s="11">
        <v>1035826.0</v>
      </c>
      <c r="C534" s="24" t="s">
        <v>749</v>
      </c>
      <c r="D534" s="9" t="s">
        <v>3459</v>
      </c>
      <c r="E534" s="10" t="s">
        <v>3460</v>
      </c>
      <c r="F534" s="11">
        <v>1035826.0</v>
      </c>
      <c r="G534" s="10"/>
      <c r="H534" s="10" t="s">
        <v>3461</v>
      </c>
      <c r="I534" s="10" t="s">
        <v>3462</v>
      </c>
      <c r="J534" s="10" t="s">
        <v>3463</v>
      </c>
      <c r="K534" s="10" t="s">
        <v>3464</v>
      </c>
      <c r="L534" s="10" t="s">
        <v>3463</v>
      </c>
      <c r="M534" s="11">
        <v>1997.0</v>
      </c>
      <c r="N534" s="10" t="s">
        <v>3465</v>
      </c>
      <c r="O534" s="10" t="s">
        <v>3465</v>
      </c>
      <c r="P534" s="11">
        <v>6036.0</v>
      </c>
      <c r="Q534" s="11">
        <v>6035.0</v>
      </c>
      <c r="R534" s="11">
        <v>12.0</v>
      </c>
      <c r="S534" s="10"/>
      <c r="T534" s="10"/>
      <c r="U534" s="10"/>
      <c r="V534" s="10"/>
      <c r="W534" s="10"/>
      <c r="X534" s="10"/>
      <c r="Y534" s="10"/>
    </row>
    <row r="535">
      <c r="A535" s="10" t="s">
        <v>3466</v>
      </c>
      <c r="B535" s="11">
        <v>1051379.0</v>
      </c>
      <c r="C535" s="10" t="s">
        <v>20</v>
      </c>
      <c r="D535" s="9" t="s">
        <v>2712</v>
      </c>
      <c r="E535" s="10" t="s">
        <v>3467</v>
      </c>
      <c r="F535" s="11">
        <v>1051379.0</v>
      </c>
      <c r="G535" s="10"/>
      <c r="H535" s="10" t="s">
        <v>3468</v>
      </c>
      <c r="I535" s="10" t="s">
        <v>3469</v>
      </c>
      <c r="J535" s="10" t="s">
        <v>3470</v>
      </c>
      <c r="K535" s="10" t="s">
        <v>3471</v>
      </c>
      <c r="L535" s="10" t="s">
        <v>3470</v>
      </c>
      <c r="M535" s="11">
        <v>1998.0</v>
      </c>
      <c r="N535" s="10"/>
      <c r="O535" s="10"/>
      <c r="P535" s="11">
        <v>6021.0</v>
      </c>
      <c r="Q535" s="11">
        <v>6020.0</v>
      </c>
      <c r="R535" s="11">
        <v>15.0</v>
      </c>
      <c r="S535" s="10"/>
      <c r="T535" s="10"/>
      <c r="U535" s="10"/>
      <c r="V535" s="10"/>
      <c r="W535" s="10"/>
      <c r="X535" s="10"/>
      <c r="Y535" s="10"/>
    </row>
    <row r="536">
      <c r="A536" s="10" t="s">
        <v>3472</v>
      </c>
      <c r="B536" s="11">
        <v>1470099.0</v>
      </c>
      <c r="C536" s="8" t="s">
        <v>762</v>
      </c>
      <c r="D536" s="9" t="s">
        <v>3473</v>
      </c>
      <c r="E536" s="10" t="s">
        <v>3474</v>
      </c>
      <c r="F536" s="11">
        <v>1470099.0</v>
      </c>
      <c r="G536" s="10"/>
      <c r="H536" s="10" t="s">
        <v>3475</v>
      </c>
      <c r="I536" s="10" t="s">
        <v>3476</v>
      </c>
      <c r="J536" s="10" t="s">
        <v>3477</v>
      </c>
      <c r="K536" s="10" t="s">
        <v>3477</v>
      </c>
      <c r="L536" s="10" t="s">
        <v>3477</v>
      </c>
      <c r="M536" s="11">
        <v>2014.0</v>
      </c>
      <c r="N536" s="10" t="s">
        <v>3478</v>
      </c>
      <c r="O536" s="10" t="s">
        <v>3478</v>
      </c>
      <c r="P536" s="11">
        <v>7372.0</v>
      </c>
      <c r="Q536" s="11">
        <v>7370.0</v>
      </c>
      <c r="R536" s="11">
        <v>9.0</v>
      </c>
      <c r="S536" s="10"/>
      <c r="T536" s="10"/>
      <c r="U536" s="10"/>
      <c r="V536" s="10"/>
      <c r="W536" s="10"/>
      <c r="X536" s="10"/>
      <c r="Y536" s="10"/>
    </row>
    <row r="537">
      <c r="A537" s="10" t="s">
        <v>3479</v>
      </c>
      <c r="B537" s="11">
        <v>1108507.0</v>
      </c>
      <c r="C537" s="10" t="s">
        <v>20</v>
      </c>
      <c r="D537" s="9" t="s">
        <v>3480</v>
      </c>
      <c r="E537" s="10" t="s">
        <v>3481</v>
      </c>
      <c r="F537" s="11">
        <v>1108507.0</v>
      </c>
      <c r="G537" s="10"/>
      <c r="H537" s="10" t="s">
        <v>3482</v>
      </c>
      <c r="I537" s="10" t="s">
        <v>3483</v>
      </c>
      <c r="J537" s="10" t="s">
        <v>3484</v>
      </c>
      <c r="K537" s="10" t="s">
        <v>3484</v>
      </c>
      <c r="L537" s="10" t="s">
        <v>3484</v>
      </c>
      <c r="M537" s="11">
        <v>2002.0</v>
      </c>
      <c r="N537" s="10"/>
      <c r="O537" s="10"/>
      <c r="P537" s="11">
        <v>7372.0</v>
      </c>
      <c r="Q537" s="11">
        <v>7372.0</v>
      </c>
      <c r="R537" s="11">
        <v>10.0</v>
      </c>
      <c r="S537" s="10"/>
      <c r="T537" s="10"/>
      <c r="U537" s="10"/>
      <c r="V537" s="10"/>
      <c r="W537" s="10"/>
      <c r="X537" s="10"/>
      <c r="Y537" s="10"/>
    </row>
    <row r="538">
      <c r="A538" s="10" t="s">
        <v>3485</v>
      </c>
      <c r="B538" s="11">
        <v>945688.0</v>
      </c>
      <c r="C538" s="10" t="s">
        <v>20</v>
      </c>
      <c r="D538" s="9" t="s">
        <v>3486</v>
      </c>
      <c r="E538" s="10" t="s">
        <v>3487</v>
      </c>
      <c r="F538" s="11">
        <v>945688.0</v>
      </c>
      <c r="G538" s="10"/>
      <c r="H538" s="10" t="s">
        <v>3488</v>
      </c>
      <c r="I538" s="10" t="s">
        <v>3489</v>
      </c>
      <c r="J538" s="10" t="s">
        <v>3490</v>
      </c>
      <c r="K538" s="10" t="s">
        <v>3491</v>
      </c>
      <c r="L538" s="10" t="s">
        <v>3490</v>
      </c>
      <c r="M538" s="11">
        <v>1997.0</v>
      </c>
      <c r="N538" s="10" t="s">
        <v>3492</v>
      </c>
      <c r="O538" s="10" t="s">
        <v>3492</v>
      </c>
      <c r="P538" s="11">
        <v>7375.0</v>
      </c>
      <c r="Q538" s="11">
        <v>7370.0</v>
      </c>
      <c r="R538" s="11">
        <v>8.0</v>
      </c>
      <c r="S538" s="10"/>
      <c r="T538" s="10"/>
      <c r="U538" s="10"/>
      <c r="V538" s="10"/>
      <c r="W538" s="10"/>
      <c r="X538" s="10"/>
      <c r="Y538" s="10"/>
    </row>
    <row r="539">
      <c r="A539" s="10" t="s">
        <v>3493</v>
      </c>
      <c r="B539" s="11">
        <v>1038271.0</v>
      </c>
      <c r="C539" s="10" t="s">
        <v>20</v>
      </c>
      <c r="D539" s="9" t="s">
        <v>3494</v>
      </c>
      <c r="E539" s="10" t="s">
        <v>3495</v>
      </c>
      <c r="F539" s="11">
        <v>1038271.0</v>
      </c>
      <c r="G539" s="10"/>
      <c r="H539" s="10" t="s">
        <v>3496</v>
      </c>
      <c r="I539" s="10" t="s">
        <v>3497</v>
      </c>
      <c r="J539" s="10" t="s">
        <v>3498</v>
      </c>
      <c r="K539" s="10" t="s">
        <v>3499</v>
      </c>
      <c r="L539" s="10" t="s">
        <v>3498</v>
      </c>
      <c r="M539" s="11">
        <v>1997.0</v>
      </c>
      <c r="N539" s="10" t="s">
        <v>873</v>
      </c>
      <c r="O539" s="10" t="s">
        <v>873</v>
      </c>
      <c r="P539" s="11">
        <v>7372.0</v>
      </c>
      <c r="Q539" s="11">
        <v>7372.0</v>
      </c>
      <c r="R539" s="11">
        <v>7.5</v>
      </c>
      <c r="S539" s="10"/>
      <c r="T539" s="10"/>
      <c r="U539" s="10"/>
      <c r="V539" s="10"/>
      <c r="W539" s="10"/>
      <c r="X539" s="10"/>
      <c r="Y539" s="10"/>
    </row>
    <row r="540">
      <c r="A540" s="10" t="s">
        <v>3500</v>
      </c>
      <c r="B540" s="11">
        <v>355379.0</v>
      </c>
      <c r="C540" s="8" t="s">
        <v>762</v>
      </c>
      <c r="D540" s="9" t="s">
        <v>3501</v>
      </c>
      <c r="E540" s="10"/>
      <c r="F540" s="10"/>
      <c r="G540" s="10"/>
      <c r="H540" s="10" t="s">
        <v>3502</v>
      </c>
      <c r="I540" s="10" t="s">
        <v>3503</v>
      </c>
      <c r="J540" s="10" t="s">
        <v>3504</v>
      </c>
      <c r="K540" s="10"/>
      <c r="L540" s="10"/>
      <c r="M540" s="11">
        <v>2020.0</v>
      </c>
      <c r="N540" s="10"/>
      <c r="O540" s="10"/>
      <c r="P540" s="11">
        <v>6311.0</v>
      </c>
      <c r="Q540" s="10"/>
      <c r="R540" s="11">
        <v>70.0</v>
      </c>
      <c r="S540" s="10"/>
      <c r="T540" s="10"/>
      <c r="U540" s="10"/>
      <c r="V540" s="10"/>
      <c r="W540" s="10"/>
      <c r="X540" s="10"/>
      <c r="Y540" s="10"/>
    </row>
    <row r="541">
      <c r="A541" s="10" t="s">
        <v>3505</v>
      </c>
      <c r="B541" s="11">
        <v>731859.0</v>
      </c>
      <c r="C541" s="10" t="s">
        <v>20</v>
      </c>
      <c r="D541" s="9" t="s">
        <v>3506</v>
      </c>
      <c r="E541" s="10"/>
      <c r="F541" s="10"/>
      <c r="G541" s="10"/>
      <c r="H541" s="10" t="s">
        <v>3507</v>
      </c>
      <c r="I541" s="10" t="s">
        <v>3508</v>
      </c>
      <c r="J541" s="10" t="s">
        <v>3509</v>
      </c>
      <c r="K541" s="10"/>
      <c r="L541" s="10" t="s">
        <v>3510</v>
      </c>
      <c r="M541" s="11">
        <v>1994.0</v>
      </c>
      <c r="N541" s="10"/>
      <c r="O541" s="10"/>
      <c r="P541" s="11">
        <v>6799.0</v>
      </c>
      <c r="Q541" s="10"/>
      <c r="R541" s="11">
        <v>12.125</v>
      </c>
      <c r="S541" s="10"/>
      <c r="T541" s="10"/>
      <c r="U541" s="10"/>
      <c r="V541" s="10"/>
      <c r="W541" s="10"/>
      <c r="X541" s="10"/>
      <c r="Y541" s="10"/>
    </row>
    <row r="542">
      <c r="A542" s="10" t="s">
        <v>3511</v>
      </c>
      <c r="B542" s="11">
        <v>1048275.0</v>
      </c>
      <c r="C542" s="10" t="s">
        <v>20</v>
      </c>
      <c r="D542" s="9" t="s">
        <v>3512</v>
      </c>
      <c r="E542" s="10"/>
      <c r="F542" s="10"/>
      <c r="G542" s="10"/>
      <c r="H542" s="10" t="s">
        <v>3513</v>
      </c>
      <c r="I542" s="10" t="s">
        <v>3514</v>
      </c>
      <c r="J542" s="10" t="s">
        <v>3515</v>
      </c>
      <c r="K542" s="10"/>
      <c r="L542" s="10" t="s">
        <v>3515</v>
      </c>
      <c r="M542" s="11">
        <v>1998.0</v>
      </c>
      <c r="N542" s="10"/>
      <c r="O542" s="10"/>
      <c r="P542" s="11">
        <v>6162.0</v>
      </c>
      <c r="Q542" s="10"/>
      <c r="R542" s="11">
        <v>9.0</v>
      </c>
      <c r="S542" s="10"/>
      <c r="T542" s="10"/>
      <c r="U542" s="10"/>
      <c r="V542" s="10"/>
      <c r="W542" s="10"/>
      <c r="X542" s="10"/>
      <c r="Y542" s="10"/>
    </row>
    <row r="543">
      <c r="A543" s="10" t="s">
        <v>3516</v>
      </c>
      <c r="B543" s="11">
        <v>1721947.0</v>
      </c>
      <c r="C543" s="8" t="s">
        <v>762</v>
      </c>
      <c r="D543" s="9" t="s">
        <v>3517</v>
      </c>
      <c r="E543" s="10" t="s">
        <v>3518</v>
      </c>
      <c r="F543" s="11">
        <v>1721947.0</v>
      </c>
      <c r="G543" s="11">
        <v>1721947.0</v>
      </c>
      <c r="H543" s="10" t="s">
        <v>3519</v>
      </c>
      <c r="I543" s="10" t="s">
        <v>3520</v>
      </c>
      <c r="J543" s="10" t="s">
        <v>3521</v>
      </c>
      <c r="K543" s="10" t="s">
        <v>3521</v>
      </c>
      <c r="L543" s="10"/>
      <c r="M543" s="11">
        <v>2020.0</v>
      </c>
      <c r="N543" s="10" t="s">
        <v>3522</v>
      </c>
      <c r="O543" s="10" t="s">
        <v>3522</v>
      </c>
      <c r="P543" s="11">
        <v>7372.0</v>
      </c>
      <c r="Q543" s="11">
        <v>7370.0</v>
      </c>
      <c r="R543" s="11">
        <v>26.0</v>
      </c>
      <c r="S543" s="10"/>
      <c r="T543" s="10"/>
      <c r="U543" s="10"/>
      <c r="V543" s="10"/>
      <c r="W543" s="10"/>
      <c r="X543" s="10"/>
      <c r="Y543" s="10"/>
    </row>
    <row r="544">
      <c r="A544" s="10" t="s">
        <v>3523</v>
      </c>
      <c r="B544" s="11">
        <v>1007209.0</v>
      </c>
      <c r="C544" s="10" t="s">
        <v>20</v>
      </c>
      <c r="D544" s="9" t="s">
        <v>3524</v>
      </c>
      <c r="E544" s="10" t="s">
        <v>3525</v>
      </c>
      <c r="F544" s="11">
        <v>1007209.0</v>
      </c>
      <c r="G544" s="10"/>
      <c r="H544" s="10" t="s">
        <v>3526</v>
      </c>
      <c r="I544" s="10" t="s">
        <v>3527</v>
      </c>
      <c r="J544" s="10" t="s">
        <v>3528</v>
      </c>
      <c r="K544" s="10" t="s">
        <v>3528</v>
      </c>
      <c r="L544" s="10" t="s">
        <v>3528</v>
      </c>
      <c r="M544" s="11">
        <v>1997.0</v>
      </c>
      <c r="N544" s="10" t="s">
        <v>3529</v>
      </c>
      <c r="O544" s="10" t="s">
        <v>3529</v>
      </c>
      <c r="P544" s="11">
        <v>7373.0</v>
      </c>
      <c r="Q544" s="11">
        <v>7372.0</v>
      </c>
      <c r="R544" s="11">
        <v>8.75</v>
      </c>
      <c r="S544" s="10"/>
      <c r="T544" s="10"/>
      <c r="U544" s="10"/>
      <c r="V544" s="10"/>
      <c r="W544" s="10"/>
      <c r="X544" s="10"/>
      <c r="Y544" s="10"/>
    </row>
    <row r="545">
      <c r="A545" s="10" t="s">
        <v>3530</v>
      </c>
      <c r="B545" s="11">
        <v>1033643.0</v>
      </c>
      <c r="C545" s="10" t="s">
        <v>20</v>
      </c>
      <c r="D545" s="9" t="s">
        <v>3531</v>
      </c>
      <c r="E545" s="10" t="s">
        <v>3532</v>
      </c>
      <c r="F545" s="11">
        <v>1033643.0</v>
      </c>
      <c r="G545" s="10"/>
      <c r="H545" s="10" t="s">
        <v>3533</v>
      </c>
      <c r="I545" s="10" t="s">
        <v>3534</v>
      </c>
      <c r="J545" s="10" t="s">
        <v>3535</v>
      </c>
      <c r="K545" s="10" t="s">
        <v>3536</v>
      </c>
      <c r="L545" s="10" t="s">
        <v>3535</v>
      </c>
      <c r="M545" s="11">
        <v>1997.0</v>
      </c>
      <c r="N545" s="10" t="s">
        <v>3537</v>
      </c>
      <c r="O545" s="10" t="s">
        <v>3537</v>
      </c>
      <c r="P545" s="11">
        <v>6162.0</v>
      </c>
      <c r="Q545" s="11">
        <v>6798.0</v>
      </c>
      <c r="R545" s="11">
        <v>16.0</v>
      </c>
      <c r="S545" s="10"/>
      <c r="T545" s="10"/>
      <c r="U545" s="10"/>
      <c r="V545" s="10"/>
      <c r="W545" s="10"/>
      <c r="X545" s="10"/>
      <c r="Y545" s="10"/>
    </row>
    <row r="546">
      <c r="A546" s="10" t="s">
        <v>3538</v>
      </c>
      <c r="B546" s="11">
        <v>1671933.0</v>
      </c>
      <c r="C546" s="8" t="s">
        <v>762</v>
      </c>
      <c r="D546" s="9" t="s">
        <v>3539</v>
      </c>
      <c r="E546" s="10" t="s">
        <v>3540</v>
      </c>
      <c r="F546" s="11">
        <v>1671933.0</v>
      </c>
      <c r="G546" s="11">
        <v>1671933.0</v>
      </c>
      <c r="H546" s="10" t="s">
        <v>3541</v>
      </c>
      <c r="I546" s="10" t="s">
        <v>3542</v>
      </c>
      <c r="J546" s="10" t="s">
        <v>3543</v>
      </c>
      <c r="K546" s="10" t="s">
        <v>3543</v>
      </c>
      <c r="L546" s="10" t="s">
        <v>3543</v>
      </c>
      <c r="M546" s="11">
        <v>2016.0</v>
      </c>
      <c r="N546" s="10" t="s">
        <v>3544</v>
      </c>
      <c r="O546" s="10" t="s">
        <v>3544</v>
      </c>
      <c r="P546" s="11">
        <v>8742.0</v>
      </c>
      <c r="Q546" s="11">
        <v>7370.0</v>
      </c>
      <c r="R546" s="11">
        <v>18.0</v>
      </c>
      <c r="S546" s="10"/>
      <c r="T546" s="10"/>
      <c r="U546" s="10"/>
      <c r="V546" s="10"/>
      <c r="W546" s="10"/>
      <c r="X546" s="10"/>
      <c r="Y546" s="10"/>
    </row>
    <row r="547">
      <c r="A547" s="10" t="s">
        <v>3545</v>
      </c>
      <c r="B547" s="11">
        <v>929031.0</v>
      </c>
      <c r="C547" s="10" t="s">
        <v>20</v>
      </c>
      <c r="D547" s="9" t="s">
        <v>3546</v>
      </c>
      <c r="E547" s="10" t="s">
        <v>3547</v>
      </c>
      <c r="F547" s="11">
        <v>929031.0</v>
      </c>
      <c r="G547" s="10"/>
      <c r="H547" s="10" t="s">
        <v>3548</v>
      </c>
      <c r="I547" s="10" t="s">
        <v>3549</v>
      </c>
      <c r="J547" s="10" t="s">
        <v>3550</v>
      </c>
      <c r="K547" s="10" t="s">
        <v>3550</v>
      </c>
      <c r="L547" s="10" t="s">
        <v>3550</v>
      </c>
      <c r="M547" s="11">
        <v>1997.0</v>
      </c>
      <c r="N547" s="10" t="s">
        <v>3551</v>
      </c>
      <c r="O547" s="10" t="s">
        <v>3551</v>
      </c>
      <c r="P547" s="11">
        <v>6411.0</v>
      </c>
      <c r="Q547" s="11">
        <v>6331.0</v>
      </c>
      <c r="R547" s="11">
        <v>18.5</v>
      </c>
      <c r="S547" s="10"/>
      <c r="T547" s="10"/>
      <c r="U547" s="10"/>
      <c r="V547" s="10"/>
      <c r="W547" s="10"/>
      <c r="X547" s="10"/>
      <c r="Y547" s="10"/>
    </row>
    <row r="548">
      <c r="A548" s="10" t="s">
        <v>3552</v>
      </c>
      <c r="B548" s="11">
        <v>1616297.0</v>
      </c>
      <c r="C548" s="10" t="s">
        <v>20</v>
      </c>
      <c r="D548" s="9" t="s">
        <v>2876</v>
      </c>
      <c r="E548" s="10" t="s">
        <v>3553</v>
      </c>
      <c r="F548" s="11">
        <v>1616297.0</v>
      </c>
      <c r="G548" s="10"/>
      <c r="H548" s="10" t="s">
        <v>3554</v>
      </c>
      <c r="I548" s="10" t="s">
        <v>3555</v>
      </c>
      <c r="J548" s="10" t="s">
        <v>3556</v>
      </c>
      <c r="K548" s="10" t="s">
        <v>3556</v>
      </c>
      <c r="L548" s="10" t="s">
        <v>3556</v>
      </c>
      <c r="M548" s="11">
        <v>2015.0</v>
      </c>
      <c r="N548" s="10" t="s">
        <v>3557</v>
      </c>
      <c r="O548" s="10" t="s">
        <v>3557</v>
      </c>
      <c r="P548" s="11">
        <v>6022.0</v>
      </c>
      <c r="Q548" s="11">
        <v>6020.0</v>
      </c>
      <c r="R548" s="11">
        <v>11.0</v>
      </c>
      <c r="S548" s="10"/>
      <c r="T548" s="10"/>
      <c r="U548" s="10"/>
      <c r="V548" s="10"/>
      <c r="W548" s="10"/>
      <c r="X548" s="10"/>
      <c r="Y548" s="10"/>
    </row>
    <row r="549">
      <c r="A549" s="10" t="s">
        <v>3558</v>
      </c>
      <c r="B549" s="11">
        <v>1580063.0</v>
      </c>
      <c r="C549" s="10" t="s">
        <v>20</v>
      </c>
      <c r="D549" s="9" t="s">
        <v>3559</v>
      </c>
      <c r="E549" s="10"/>
      <c r="F549" s="10"/>
      <c r="G549" s="10"/>
      <c r="H549" s="10" t="s">
        <v>3560</v>
      </c>
      <c r="I549" s="10" t="s">
        <v>3561</v>
      </c>
      <c r="J549" s="10" t="s">
        <v>3562</v>
      </c>
      <c r="K549" s="10"/>
      <c r="L549" s="10" t="s">
        <v>3562</v>
      </c>
      <c r="M549" s="11">
        <v>2020.0</v>
      </c>
      <c r="N549" s="10"/>
      <c r="O549" s="10"/>
      <c r="P549" s="11">
        <v>8731.0</v>
      </c>
      <c r="Q549" s="10"/>
      <c r="R549" s="11">
        <v>15.0</v>
      </c>
      <c r="S549" s="10"/>
      <c r="T549" s="10"/>
      <c r="U549" s="10"/>
      <c r="V549" s="10"/>
      <c r="W549" s="10"/>
      <c r="X549" s="10"/>
      <c r="Y549" s="10"/>
    </row>
    <row r="550">
      <c r="A550" s="10" t="s">
        <v>3563</v>
      </c>
      <c r="B550" s="11">
        <v>1109190.0</v>
      </c>
      <c r="C550" s="24" t="s">
        <v>749</v>
      </c>
      <c r="D550" s="9" t="s">
        <v>3564</v>
      </c>
      <c r="E550" s="10" t="s">
        <v>3565</v>
      </c>
      <c r="F550" s="11">
        <v>1109190.0</v>
      </c>
      <c r="G550" s="10"/>
      <c r="H550" s="10" t="s">
        <v>3566</v>
      </c>
      <c r="I550" s="10" t="s">
        <v>3567</v>
      </c>
      <c r="J550" s="10" t="s">
        <v>3568</v>
      </c>
      <c r="K550" s="10" t="s">
        <v>3569</v>
      </c>
      <c r="L550" s="10" t="s">
        <v>3570</v>
      </c>
      <c r="M550" s="11">
        <v>2000.0</v>
      </c>
      <c r="N550" s="10"/>
      <c r="O550" s="10"/>
      <c r="P550" s="11">
        <v>7374.0</v>
      </c>
      <c r="Q550" s="11">
        <v>7374.0</v>
      </c>
      <c r="R550" s="11">
        <v>13.0</v>
      </c>
      <c r="S550" s="10"/>
      <c r="T550" s="10"/>
      <c r="U550" s="10"/>
      <c r="V550" s="10"/>
      <c r="W550" s="10"/>
      <c r="X550" s="10"/>
      <c r="Y550" s="10"/>
    </row>
    <row r="551">
      <c r="A551" s="10" t="s">
        <v>3571</v>
      </c>
      <c r="B551" s="11">
        <v>1550695.0</v>
      </c>
      <c r="C551" s="10" t="s">
        <v>20</v>
      </c>
      <c r="D551" s="9" t="s">
        <v>3572</v>
      </c>
      <c r="E551" s="10" t="s">
        <v>3573</v>
      </c>
      <c r="F551" s="11">
        <v>1550695.0</v>
      </c>
      <c r="G551" s="10"/>
      <c r="H551" s="10" t="s">
        <v>3574</v>
      </c>
      <c r="I551" s="10" t="s">
        <v>3575</v>
      </c>
      <c r="J551" s="10"/>
      <c r="K551" s="10" t="s">
        <v>3576</v>
      </c>
      <c r="L551" s="10"/>
      <c r="M551" s="11">
        <v>2012.0</v>
      </c>
      <c r="N551" s="10" t="s">
        <v>3577</v>
      </c>
      <c r="O551" s="10" t="s">
        <v>3577</v>
      </c>
      <c r="P551" s="11">
        <v>7322.0</v>
      </c>
      <c r="Q551" s="11">
        <v>7320.0</v>
      </c>
      <c r="R551" s="11">
        <v>9.0</v>
      </c>
      <c r="S551" s="10"/>
      <c r="T551" s="10"/>
      <c r="U551" s="10"/>
      <c r="V551" s="10"/>
      <c r="W551" s="10"/>
      <c r="X551" s="10"/>
      <c r="Y551" s="10"/>
    </row>
    <row r="552">
      <c r="A552" s="10" t="s">
        <v>3578</v>
      </c>
      <c r="B552" s="11">
        <v>1043134.0</v>
      </c>
      <c r="C552" s="10" t="s">
        <v>20</v>
      </c>
      <c r="D552" s="9" t="s">
        <v>3579</v>
      </c>
      <c r="E552" s="10" t="s">
        <v>3580</v>
      </c>
      <c r="F552" s="11">
        <v>1043134.0</v>
      </c>
      <c r="G552" s="10"/>
      <c r="H552" s="10" t="s">
        <v>3581</v>
      </c>
      <c r="I552" s="10" t="s">
        <v>3582</v>
      </c>
      <c r="J552" s="10" t="s">
        <v>3583</v>
      </c>
      <c r="K552" s="10" t="s">
        <v>3583</v>
      </c>
      <c r="L552" s="10" t="s">
        <v>3583</v>
      </c>
      <c r="M552" s="11">
        <v>2000.0</v>
      </c>
      <c r="N552" s="10" t="s">
        <v>1116</v>
      </c>
      <c r="O552" s="10" t="s">
        <v>1116</v>
      </c>
      <c r="P552" s="11">
        <v>7372.0</v>
      </c>
      <c r="Q552" s="11">
        <v>7372.0</v>
      </c>
      <c r="R552" s="11">
        <v>11.0</v>
      </c>
      <c r="S552" s="10"/>
      <c r="T552" s="10"/>
      <c r="U552" s="10"/>
      <c r="V552" s="10"/>
      <c r="W552" s="10"/>
      <c r="X552" s="10"/>
      <c r="Y552" s="10"/>
    </row>
    <row r="553">
      <c r="A553" s="10" t="s">
        <v>3584</v>
      </c>
      <c r="B553" s="11">
        <v>1029299.0</v>
      </c>
      <c r="C553" s="8" t="s">
        <v>762</v>
      </c>
      <c r="D553" s="9" t="s">
        <v>3585</v>
      </c>
      <c r="E553" s="10"/>
      <c r="F553" s="10"/>
      <c r="G553" s="10"/>
      <c r="H553" s="10" t="s">
        <v>3586</v>
      </c>
      <c r="I553" s="10" t="s">
        <v>3587</v>
      </c>
      <c r="J553" s="10" t="s">
        <v>3588</v>
      </c>
      <c r="K553" s="10"/>
      <c r="L553" s="10" t="s">
        <v>3588</v>
      </c>
      <c r="M553" s="11">
        <v>1997.0</v>
      </c>
      <c r="N553" s="10"/>
      <c r="O553" s="10"/>
      <c r="P553" s="11">
        <v>7371.0</v>
      </c>
      <c r="Q553" s="10"/>
      <c r="R553" s="11">
        <v>11.0</v>
      </c>
      <c r="S553" s="10"/>
      <c r="T553" s="10"/>
      <c r="U553" s="10"/>
      <c r="V553" s="10"/>
      <c r="W553" s="10"/>
      <c r="X553" s="10"/>
      <c r="Y553" s="10"/>
    </row>
    <row r="554">
      <c r="A554" s="10" t="s">
        <v>3589</v>
      </c>
      <c r="B554" s="11">
        <v>1014473.0</v>
      </c>
      <c r="C554" s="8" t="s">
        <v>762</v>
      </c>
      <c r="D554" s="9" t="s">
        <v>3590</v>
      </c>
      <c r="E554" s="10" t="s">
        <v>3591</v>
      </c>
      <c r="F554" s="11">
        <v>1014473.0</v>
      </c>
      <c r="G554" s="11">
        <v>1014473.0</v>
      </c>
      <c r="H554" s="10" t="s">
        <v>3592</v>
      </c>
      <c r="I554" s="10" t="s">
        <v>3593</v>
      </c>
      <c r="J554" s="10" t="s">
        <v>3594</v>
      </c>
      <c r="K554" s="10" t="s">
        <v>3594</v>
      </c>
      <c r="L554" s="10" t="s">
        <v>3594</v>
      </c>
      <c r="M554" s="11">
        <v>1998.0</v>
      </c>
      <c r="N554" s="10" t="s">
        <v>3595</v>
      </c>
      <c r="O554" s="10" t="s">
        <v>3595</v>
      </c>
      <c r="P554" s="11">
        <v>7373.0</v>
      </c>
      <c r="Q554" s="11">
        <v>7370.0</v>
      </c>
      <c r="R554" s="11">
        <v>14.0</v>
      </c>
      <c r="S554" s="10"/>
      <c r="T554" s="10"/>
      <c r="U554" s="10"/>
      <c r="V554" s="10"/>
      <c r="W554" s="10"/>
      <c r="X554" s="10"/>
      <c r="Y554" s="10"/>
    </row>
    <row r="555">
      <c r="A555" s="10" t="s">
        <v>3596</v>
      </c>
      <c r="B555" s="11">
        <v>1529274.0</v>
      </c>
      <c r="C555" s="24" t="s">
        <v>749</v>
      </c>
      <c r="D555" s="9" t="s">
        <v>3597</v>
      </c>
      <c r="E555" s="10" t="s">
        <v>3598</v>
      </c>
      <c r="F555" s="11">
        <v>1529274.0</v>
      </c>
      <c r="G555" s="11">
        <v>1529274.0</v>
      </c>
      <c r="H555" s="10" t="s">
        <v>3599</v>
      </c>
      <c r="I555" s="10" t="s">
        <v>3600</v>
      </c>
      <c r="J555" s="10" t="s">
        <v>3601</v>
      </c>
      <c r="K555" s="10" t="s">
        <v>3601</v>
      </c>
      <c r="L555" s="10" t="s">
        <v>3601</v>
      </c>
      <c r="M555" s="11">
        <v>2021.0</v>
      </c>
      <c r="N555" s="10" t="s">
        <v>3602</v>
      </c>
      <c r="O555" s="10" t="s">
        <v>3602</v>
      </c>
      <c r="P555" s="11">
        <v>7389.0</v>
      </c>
      <c r="Q555" s="11">
        <v>7370.0</v>
      </c>
      <c r="R555" s="11">
        <v>30.0</v>
      </c>
      <c r="S555" s="10"/>
      <c r="T555" s="10"/>
      <c r="U555" s="10"/>
      <c r="V555" s="10"/>
      <c r="W555" s="10"/>
      <c r="X555" s="10"/>
      <c r="Y555" s="10"/>
    </row>
    <row r="556">
      <c r="A556" s="10" t="s">
        <v>3603</v>
      </c>
      <c r="B556" s="11">
        <v>1736243.0</v>
      </c>
      <c r="C556" s="10" t="s">
        <v>20</v>
      </c>
      <c r="D556" s="9" t="s">
        <v>3604</v>
      </c>
      <c r="E556" s="10" t="s">
        <v>3605</v>
      </c>
      <c r="F556" s="11">
        <v>1736243.0</v>
      </c>
      <c r="G556" s="11">
        <v>1736243.0</v>
      </c>
      <c r="H556" s="10" t="s">
        <v>3606</v>
      </c>
      <c r="I556" s="10" t="s">
        <v>3607</v>
      </c>
      <c r="J556" s="10" t="s">
        <v>3608</v>
      </c>
      <c r="K556" s="10" t="s">
        <v>3608</v>
      </c>
      <c r="L556" s="10" t="s">
        <v>3608</v>
      </c>
      <c r="M556" s="11">
        <v>2021.0</v>
      </c>
      <c r="N556" s="10" t="s">
        <v>3609</v>
      </c>
      <c r="O556" s="10" t="s">
        <v>3609</v>
      </c>
      <c r="P556" s="11">
        <v>8731.0</v>
      </c>
      <c r="Q556" s="11">
        <v>2836.0</v>
      </c>
      <c r="R556" s="11">
        <v>6.0</v>
      </c>
      <c r="S556" s="10"/>
      <c r="T556" s="10"/>
      <c r="U556" s="10"/>
      <c r="V556" s="10"/>
      <c r="W556" s="10"/>
      <c r="X556" s="10"/>
      <c r="Y556" s="10"/>
    </row>
    <row r="557">
      <c r="A557" s="10" t="s">
        <v>3610</v>
      </c>
      <c r="B557" s="11">
        <v>1831840.0</v>
      </c>
      <c r="C557" s="8" t="s">
        <v>762</v>
      </c>
      <c r="D557" s="9" t="s">
        <v>3611</v>
      </c>
      <c r="E557" s="10" t="s">
        <v>3612</v>
      </c>
      <c r="F557" s="11">
        <v>1831840.0</v>
      </c>
      <c r="G557" s="11">
        <v>1831840.0</v>
      </c>
      <c r="H557" s="10" t="s">
        <v>3613</v>
      </c>
      <c r="I557" s="10" t="s">
        <v>3614</v>
      </c>
      <c r="J557" s="10" t="s">
        <v>3615</v>
      </c>
      <c r="K557" s="10" t="s">
        <v>3615</v>
      </c>
      <c r="L557" s="10" t="s">
        <v>3615</v>
      </c>
      <c r="M557" s="11">
        <v>2021.0</v>
      </c>
      <c r="N557" s="10" t="s">
        <v>3616</v>
      </c>
      <c r="O557" s="10" t="s">
        <v>3616</v>
      </c>
      <c r="P557" s="11">
        <v>7372.0</v>
      </c>
      <c r="Q557" s="11">
        <v>7370.0</v>
      </c>
      <c r="R557" s="11">
        <v>14.0</v>
      </c>
      <c r="S557" s="10"/>
      <c r="T557" s="10"/>
      <c r="U557" s="10"/>
      <c r="V557" s="10"/>
      <c r="W557" s="10"/>
      <c r="X557" s="10"/>
      <c r="Y557" s="10"/>
    </row>
    <row r="558">
      <c r="A558" s="10" t="s">
        <v>3617</v>
      </c>
      <c r="B558" s="11">
        <v>1381197.0</v>
      </c>
      <c r="C558" s="24" t="s">
        <v>749</v>
      </c>
      <c r="D558" s="9" t="s">
        <v>3618</v>
      </c>
      <c r="E558" s="10" t="s">
        <v>3619</v>
      </c>
      <c r="F558" s="11">
        <v>1381197.0</v>
      </c>
      <c r="G558" s="11">
        <v>1381197.0</v>
      </c>
      <c r="H558" s="10" t="s">
        <v>3620</v>
      </c>
      <c r="I558" s="10" t="s">
        <v>3621</v>
      </c>
      <c r="J558" s="10" t="s">
        <v>3622</v>
      </c>
      <c r="K558" s="10" t="s">
        <v>3622</v>
      </c>
      <c r="L558" s="10" t="s">
        <v>3622</v>
      </c>
      <c r="M558" s="11">
        <v>2007.0</v>
      </c>
      <c r="N558" s="10" t="s">
        <v>3623</v>
      </c>
      <c r="O558" s="10" t="s">
        <v>3623</v>
      </c>
      <c r="P558" s="11">
        <v>6211.0</v>
      </c>
      <c r="Q558" s="11">
        <v>6211.0</v>
      </c>
      <c r="R558" s="11">
        <v>30.01</v>
      </c>
      <c r="S558" s="10"/>
      <c r="T558" s="10"/>
      <c r="U558" s="10"/>
      <c r="V558" s="10"/>
      <c r="W558" s="10"/>
      <c r="X558" s="10"/>
      <c r="Y558" s="10"/>
    </row>
    <row r="559">
      <c r="A559" s="10" t="s">
        <v>3624</v>
      </c>
      <c r="B559" s="11">
        <v>818897.0</v>
      </c>
      <c r="C559" s="10" t="s">
        <v>20</v>
      </c>
      <c r="D559" s="9" t="s">
        <v>3625</v>
      </c>
      <c r="E559" s="10" t="s">
        <v>3626</v>
      </c>
      <c r="F559" s="11">
        <v>818897.0</v>
      </c>
      <c r="G559" s="10"/>
      <c r="H559" s="10" t="s">
        <v>3627</v>
      </c>
      <c r="I559" s="10" t="s">
        <v>3628</v>
      </c>
      <c r="J559" s="10" t="s">
        <v>3629</v>
      </c>
      <c r="K559" s="10" t="s">
        <v>3629</v>
      </c>
      <c r="L559" s="10" t="s">
        <v>3629</v>
      </c>
      <c r="M559" s="11">
        <v>1996.0</v>
      </c>
      <c r="N559" s="10" t="s">
        <v>3630</v>
      </c>
      <c r="O559" s="10" t="s">
        <v>3630</v>
      </c>
      <c r="P559" s="11">
        <v>6159.0</v>
      </c>
      <c r="Q559" s="11">
        <v>6799.0</v>
      </c>
      <c r="R559" s="11">
        <v>5.0</v>
      </c>
      <c r="S559" s="10"/>
      <c r="T559" s="10"/>
      <c r="U559" s="10"/>
      <c r="V559" s="10"/>
      <c r="W559" s="10"/>
      <c r="X559" s="10"/>
      <c r="Y559" s="10"/>
    </row>
    <row r="560">
      <c r="A560" s="10" t="s">
        <v>3631</v>
      </c>
      <c r="B560" s="11">
        <v>1132979.0</v>
      </c>
      <c r="C560" s="10" t="s">
        <v>20</v>
      </c>
      <c r="D560" s="9" t="s">
        <v>3632</v>
      </c>
      <c r="E560" s="10" t="s">
        <v>3633</v>
      </c>
      <c r="F560" s="11">
        <v>1132979.0</v>
      </c>
      <c r="G560" s="10"/>
      <c r="H560" s="10" t="s">
        <v>3634</v>
      </c>
      <c r="I560" s="10" t="s">
        <v>3635</v>
      </c>
      <c r="J560" s="10"/>
      <c r="K560" s="10" t="s">
        <v>3636</v>
      </c>
      <c r="L560" s="10"/>
      <c r="M560" s="11">
        <v>2010.0</v>
      </c>
      <c r="N560" s="10" t="s">
        <v>3637</v>
      </c>
      <c r="O560" s="10" t="s">
        <v>3637</v>
      </c>
      <c r="P560" s="11">
        <v>6021.0</v>
      </c>
      <c r="Q560" s="11">
        <v>6020.0</v>
      </c>
      <c r="R560" s="11">
        <v>25.5</v>
      </c>
      <c r="S560" s="10"/>
      <c r="T560" s="10"/>
      <c r="U560" s="10"/>
      <c r="V560" s="10"/>
      <c r="W560" s="10"/>
      <c r="X560" s="10"/>
      <c r="Y560" s="10"/>
    </row>
    <row r="561">
      <c r="A561" s="10" t="s">
        <v>3638</v>
      </c>
      <c r="B561" s="11">
        <v>849433.0</v>
      </c>
      <c r="C561" s="10" t="s">
        <v>20</v>
      </c>
      <c r="D561" s="9" t="s">
        <v>3639</v>
      </c>
      <c r="E561" s="10"/>
      <c r="F561" s="10"/>
      <c r="G561" s="10"/>
      <c r="H561" s="10" t="s">
        <v>3640</v>
      </c>
      <c r="I561" s="10" t="s">
        <v>3641</v>
      </c>
      <c r="J561" s="10" t="s">
        <v>3642</v>
      </c>
      <c r="K561" s="10"/>
      <c r="L561" s="10" t="s">
        <v>3642</v>
      </c>
      <c r="M561" s="11">
        <v>1996.0</v>
      </c>
      <c r="N561" s="10"/>
      <c r="O561" s="10"/>
      <c r="P561" s="11">
        <v>7372.0</v>
      </c>
      <c r="Q561" s="10"/>
      <c r="R561" s="11">
        <v>8.5</v>
      </c>
      <c r="S561" s="10"/>
      <c r="T561" s="10"/>
      <c r="U561" s="10"/>
      <c r="V561" s="10"/>
      <c r="W561" s="10"/>
      <c r="X561" s="10"/>
      <c r="Y561" s="10"/>
    </row>
    <row r="562">
      <c r="A562" s="10" t="s">
        <v>3643</v>
      </c>
      <c r="B562" s="11">
        <v>1459200.0</v>
      </c>
      <c r="C562" s="10" t="s">
        <v>20</v>
      </c>
      <c r="D562" s="9" t="s">
        <v>3644</v>
      </c>
      <c r="E562" s="10"/>
      <c r="F562" s="10"/>
      <c r="G562" s="11">
        <v>1459200.0</v>
      </c>
      <c r="H562" s="10" t="s">
        <v>3645</v>
      </c>
      <c r="I562" s="10" t="s">
        <v>3646</v>
      </c>
      <c r="J562" s="10" t="s">
        <v>3647</v>
      </c>
      <c r="K562" s="10"/>
      <c r="L562" s="10" t="s">
        <v>3647</v>
      </c>
      <c r="M562" s="11">
        <v>2015.0</v>
      </c>
      <c r="N562" s="10"/>
      <c r="O562" s="10"/>
      <c r="P562" s="11">
        <v>7372.0</v>
      </c>
      <c r="Q562" s="10"/>
      <c r="R562" s="11">
        <v>14.0</v>
      </c>
      <c r="S562" s="10"/>
      <c r="T562" s="10"/>
      <c r="U562" s="10"/>
      <c r="V562" s="10"/>
      <c r="W562" s="10"/>
      <c r="X562" s="10"/>
      <c r="Y562" s="10"/>
    </row>
    <row r="563">
      <c r="A563" s="10" t="s">
        <v>3648</v>
      </c>
      <c r="B563" s="11">
        <v>1161448.0</v>
      </c>
      <c r="C563" s="10" t="s">
        <v>20</v>
      </c>
      <c r="D563" s="9" t="s">
        <v>3649</v>
      </c>
      <c r="E563" s="10" t="s">
        <v>3650</v>
      </c>
      <c r="F563" s="11">
        <v>1161448.0</v>
      </c>
      <c r="G563" s="10"/>
      <c r="H563" s="10" t="s">
        <v>3651</v>
      </c>
      <c r="I563" s="10" t="s">
        <v>3652</v>
      </c>
      <c r="J563" s="10" t="s">
        <v>3653</v>
      </c>
      <c r="K563" s="10" t="s">
        <v>3654</v>
      </c>
      <c r="L563" s="10" t="s">
        <v>3653</v>
      </c>
      <c r="M563" s="11">
        <v>2005.0</v>
      </c>
      <c r="N563" s="10"/>
      <c r="O563" s="10"/>
      <c r="P563" s="11">
        <v>6231.0</v>
      </c>
      <c r="Q563" s="11">
        <v>6200.0</v>
      </c>
      <c r="R563" s="11">
        <v>54.0</v>
      </c>
      <c r="S563" s="10"/>
      <c r="T563" s="10"/>
      <c r="U563" s="10"/>
      <c r="V563" s="10"/>
      <c r="W563" s="10"/>
      <c r="X563" s="10"/>
      <c r="Y563" s="10"/>
    </row>
    <row r="564">
      <c r="A564" s="10" t="s">
        <v>3655</v>
      </c>
      <c r="B564" s="11">
        <v>1024302.0</v>
      </c>
      <c r="C564" s="10" t="s">
        <v>20</v>
      </c>
      <c r="D564" s="9" t="s">
        <v>3656</v>
      </c>
      <c r="E564" s="10" t="s">
        <v>3657</v>
      </c>
      <c r="F564" s="11">
        <v>1024302.0</v>
      </c>
      <c r="G564" s="11">
        <v>1840229.0</v>
      </c>
      <c r="H564" s="10" t="s">
        <v>3658</v>
      </c>
      <c r="I564" s="10" t="s">
        <v>3659</v>
      </c>
      <c r="J564" s="10" t="s">
        <v>3660</v>
      </c>
      <c r="K564" s="10" t="s">
        <v>3661</v>
      </c>
      <c r="L564" s="10" t="s">
        <v>3660</v>
      </c>
      <c r="M564" s="11">
        <v>1998.0</v>
      </c>
      <c r="N564" s="10" t="s">
        <v>3128</v>
      </c>
      <c r="O564" s="10" t="s">
        <v>3128</v>
      </c>
      <c r="P564" s="11">
        <v>7372.0</v>
      </c>
      <c r="Q564" s="11">
        <v>7372.0</v>
      </c>
      <c r="R564" s="11">
        <v>18.0</v>
      </c>
      <c r="S564" s="10"/>
      <c r="T564" s="10"/>
      <c r="U564" s="10"/>
      <c r="V564" s="10"/>
      <c r="W564" s="10"/>
      <c r="X564" s="10"/>
      <c r="Y564" s="10"/>
    </row>
    <row r="565">
      <c r="A565" s="10" t="s">
        <v>3662</v>
      </c>
      <c r="B565" s="11">
        <v>1856028.0</v>
      </c>
      <c r="C565" s="24" t="s">
        <v>749</v>
      </c>
      <c r="D565" s="9" t="s">
        <v>3663</v>
      </c>
      <c r="E565" s="10" t="s">
        <v>3664</v>
      </c>
      <c r="F565" s="11">
        <v>1856028.0</v>
      </c>
      <c r="G565" s="10"/>
      <c r="H565" s="10" t="s">
        <v>3665</v>
      </c>
      <c r="I565" s="10" t="s">
        <v>3666</v>
      </c>
      <c r="J565" s="10" t="s">
        <v>3667</v>
      </c>
      <c r="K565" s="10" t="s">
        <v>3667</v>
      </c>
      <c r="L565" s="10" t="s">
        <v>3667</v>
      </c>
      <c r="M565" s="11">
        <v>2021.0</v>
      </c>
      <c r="N565" s="10" t="s">
        <v>3668</v>
      </c>
      <c r="O565" s="10" t="s">
        <v>3668</v>
      </c>
      <c r="P565" s="11">
        <v>6099.0</v>
      </c>
      <c r="Q565" s="11">
        <v>7372.0</v>
      </c>
      <c r="R565" s="11">
        <v>19.0</v>
      </c>
      <c r="S565" s="10"/>
      <c r="T565" s="10"/>
      <c r="U565" s="10"/>
      <c r="V565" s="10"/>
      <c r="W565" s="10"/>
      <c r="X565" s="10"/>
      <c r="Y565" s="10"/>
    </row>
    <row r="566">
      <c r="A566" s="10" t="s">
        <v>3669</v>
      </c>
      <c r="B566" s="11">
        <v>1625641.0</v>
      </c>
      <c r="C566" s="8" t="s">
        <v>762</v>
      </c>
      <c r="D566" s="9" t="s">
        <v>3670</v>
      </c>
      <c r="E566" s="10" t="s">
        <v>3671</v>
      </c>
      <c r="F566" s="11">
        <v>1625641.0</v>
      </c>
      <c r="G566" s="11">
        <v>1625641.0</v>
      </c>
      <c r="H566" s="10" t="s">
        <v>3672</v>
      </c>
      <c r="I566" s="10" t="s">
        <v>3673</v>
      </c>
      <c r="J566" s="10" t="s">
        <v>3674</v>
      </c>
      <c r="K566" s="10" t="s">
        <v>3674</v>
      </c>
      <c r="L566" s="10" t="s">
        <v>3674</v>
      </c>
      <c r="M566" s="11">
        <v>2021.0</v>
      </c>
      <c r="N566" s="10" t="s">
        <v>3675</v>
      </c>
      <c r="O566" s="10" t="s">
        <v>3675</v>
      </c>
      <c r="P566" s="11">
        <v>7372.0</v>
      </c>
      <c r="Q566" s="11">
        <v>7370.0</v>
      </c>
      <c r="R566" s="11">
        <v>32.0</v>
      </c>
      <c r="S566" s="10"/>
      <c r="T566" s="10"/>
      <c r="U566" s="10"/>
      <c r="V566" s="10"/>
      <c r="W566" s="10"/>
      <c r="X566" s="10"/>
      <c r="Y566" s="10"/>
    </row>
    <row r="567">
      <c r="A567" s="10" t="s">
        <v>3676</v>
      </c>
      <c r="B567" s="11">
        <v>1014133.0</v>
      </c>
      <c r="C567" s="10" t="s">
        <v>20</v>
      </c>
      <c r="D567" s="9" t="s">
        <v>2712</v>
      </c>
      <c r="E567" s="10" t="s">
        <v>3677</v>
      </c>
      <c r="F567" s="11">
        <v>1014133.0</v>
      </c>
      <c r="G567" s="10"/>
      <c r="H567" s="10" t="s">
        <v>3678</v>
      </c>
      <c r="I567" s="10" t="s">
        <v>3679</v>
      </c>
      <c r="J567" s="10" t="s">
        <v>3680</v>
      </c>
      <c r="K567" s="10" t="s">
        <v>3680</v>
      </c>
      <c r="L567" s="10" t="s">
        <v>3680</v>
      </c>
      <c r="M567" s="11">
        <v>1996.0</v>
      </c>
      <c r="N567" s="10" t="s">
        <v>678</v>
      </c>
      <c r="O567" s="10" t="s">
        <v>678</v>
      </c>
      <c r="P567" s="11">
        <v>6712.0</v>
      </c>
      <c r="Q567" s="11">
        <v>6020.0</v>
      </c>
      <c r="R567" s="11">
        <v>10.0</v>
      </c>
      <c r="S567" s="10"/>
      <c r="T567" s="10"/>
      <c r="U567" s="10"/>
      <c r="V567" s="10"/>
      <c r="W567" s="10"/>
      <c r="X567" s="10"/>
      <c r="Y567" s="10"/>
    </row>
    <row r="568">
      <c r="A568" s="10" t="s">
        <v>3681</v>
      </c>
      <c r="B568" s="11">
        <v>1794783.0</v>
      </c>
      <c r="C568" s="24" t="s">
        <v>749</v>
      </c>
      <c r="D568" s="9" t="s">
        <v>3682</v>
      </c>
      <c r="E568" s="10" t="s">
        <v>3683</v>
      </c>
      <c r="F568" s="11">
        <v>1794783.0</v>
      </c>
      <c r="G568" s="11">
        <v>1794783.0</v>
      </c>
      <c r="H568" s="10" t="s">
        <v>3684</v>
      </c>
      <c r="I568" s="10" t="s">
        <v>3685</v>
      </c>
      <c r="J568" s="10" t="s">
        <v>3686</v>
      </c>
      <c r="K568" s="10" t="s">
        <v>3686</v>
      </c>
      <c r="L568" s="10" t="s">
        <v>3686</v>
      </c>
      <c r="M568" s="11">
        <v>2020.0</v>
      </c>
      <c r="N568" s="10" t="s">
        <v>3687</v>
      </c>
      <c r="O568" s="10" t="s">
        <v>3687</v>
      </c>
      <c r="P568" s="11">
        <v>6411.0</v>
      </c>
      <c r="Q568" s="11">
        <v>6411.0</v>
      </c>
      <c r="R568" s="11">
        <v>20.0</v>
      </c>
      <c r="S568" s="10"/>
      <c r="T568" s="10"/>
      <c r="U568" s="10"/>
      <c r="V568" s="10"/>
      <c r="W568" s="10"/>
      <c r="X568" s="10"/>
      <c r="Y568" s="10"/>
    </row>
    <row r="569">
      <c r="A569" s="10" t="s">
        <v>3688</v>
      </c>
      <c r="B569" s="11">
        <v>1619856.0</v>
      </c>
      <c r="C569" s="10" t="s">
        <v>20</v>
      </c>
      <c r="D569" s="9" t="s">
        <v>3689</v>
      </c>
      <c r="E569" s="10" t="s">
        <v>3690</v>
      </c>
      <c r="F569" s="11">
        <v>1619856.0</v>
      </c>
      <c r="G569" s="11">
        <v>1619856.0</v>
      </c>
      <c r="H569" s="10" t="s">
        <v>3691</v>
      </c>
      <c r="I569" s="10" t="s">
        <v>3692</v>
      </c>
      <c r="J569" s="10" t="s">
        <v>3693</v>
      </c>
      <c r="K569" s="10" t="s">
        <v>3693</v>
      </c>
      <c r="L569" s="10" t="s">
        <v>3693</v>
      </c>
      <c r="M569" s="11">
        <v>2021.0</v>
      </c>
      <c r="N569" s="10" t="s">
        <v>3694</v>
      </c>
      <c r="O569" s="10" t="s">
        <v>3694</v>
      </c>
      <c r="P569" s="11">
        <v>8731.0</v>
      </c>
      <c r="Q569" s="11">
        <v>2836.0</v>
      </c>
      <c r="R569" s="11">
        <v>16.0</v>
      </c>
      <c r="S569" s="10"/>
      <c r="T569" s="10"/>
      <c r="U569" s="10"/>
      <c r="V569" s="10"/>
      <c r="W569" s="10"/>
      <c r="X569" s="10"/>
      <c r="Y569" s="10"/>
    </row>
    <row r="570">
      <c r="A570" s="10" t="s">
        <v>3695</v>
      </c>
      <c r="B570" s="11">
        <v>1709401.0</v>
      </c>
      <c r="C570" s="10" t="s">
        <v>20</v>
      </c>
      <c r="D570" s="9" t="s">
        <v>3696</v>
      </c>
      <c r="E570" s="10" t="s">
        <v>3697</v>
      </c>
      <c r="F570" s="11">
        <v>1709401.0</v>
      </c>
      <c r="G570" s="10"/>
      <c r="H570" s="10" t="s">
        <v>3698</v>
      </c>
      <c r="I570" s="10" t="s">
        <v>3699</v>
      </c>
      <c r="J570" s="10" t="s">
        <v>3700</v>
      </c>
      <c r="K570" s="10" t="s">
        <v>3700</v>
      </c>
      <c r="L570" s="10" t="s">
        <v>3700</v>
      </c>
      <c r="M570" s="11">
        <v>2018.0</v>
      </c>
      <c r="N570" s="10" t="s">
        <v>3701</v>
      </c>
      <c r="O570" s="10" t="s">
        <v>3701</v>
      </c>
      <c r="P570" s="11">
        <v>8731.0</v>
      </c>
      <c r="Q570" s="11">
        <v>2836.0</v>
      </c>
      <c r="R570" s="11">
        <v>23.0</v>
      </c>
      <c r="S570" s="10"/>
      <c r="T570" s="10"/>
      <c r="U570" s="10"/>
      <c r="V570" s="10"/>
      <c r="W570" s="10"/>
      <c r="X570" s="10"/>
      <c r="Y570" s="10"/>
    </row>
    <row r="571">
      <c r="A571" s="10" t="s">
        <v>3702</v>
      </c>
      <c r="B571" s="11">
        <v>1080131.0</v>
      </c>
      <c r="C571" s="10" t="s">
        <v>20</v>
      </c>
      <c r="D571" s="9" t="s">
        <v>3703</v>
      </c>
      <c r="E571" s="10" t="s">
        <v>3704</v>
      </c>
      <c r="F571" s="11">
        <v>1080131.0</v>
      </c>
      <c r="G571" s="10"/>
      <c r="H571" s="10" t="s">
        <v>3705</v>
      </c>
      <c r="I571" s="10" t="s">
        <v>3706</v>
      </c>
      <c r="J571" s="10" t="s">
        <v>3707</v>
      </c>
      <c r="K571" s="10" t="s">
        <v>3707</v>
      </c>
      <c r="L571" s="10" t="s">
        <v>3707</v>
      </c>
      <c r="M571" s="11">
        <v>2007.0</v>
      </c>
      <c r="N571" s="10"/>
      <c r="O571" s="10"/>
      <c r="P571" s="11">
        <v>7375.0</v>
      </c>
      <c r="Q571" s="11">
        <v>7370.0</v>
      </c>
      <c r="R571" s="11">
        <v>8.0</v>
      </c>
      <c r="S571" s="10"/>
      <c r="T571" s="10"/>
      <c r="U571" s="10"/>
      <c r="V571" s="10"/>
      <c r="W571" s="10"/>
      <c r="X571" s="10"/>
      <c r="Y571" s="10"/>
    </row>
    <row r="572">
      <c r="A572" s="10" t="s">
        <v>3708</v>
      </c>
      <c r="B572" s="11">
        <v>1052100.0</v>
      </c>
      <c r="C572" s="10" t="s">
        <v>20</v>
      </c>
      <c r="D572" s="9" t="s">
        <v>3709</v>
      </c>
      <c r="E572" s="10" t="s">
        <v>3710</v>
      </c>
      <c r="F572" s="11">
        <v>1052100.0</v>
      </c>
      <c r="G572" s="10"/>
      <c r="H572" s="10" t="s">
        <v>3711</v>
      </c>
      <c r="I572" s="10" t="s">
        <v>3712</v>
      </c>
      <c r="J572" s="10" t="s">
        <v>3713</v>
      </c>
      <c r="K572" s="10" t="s">
        <v>3713</v>
      </c>
      <c r="L572" s="10" t="s">
        <v>3714</v>
      </c>
      <c r="M572" s="11">
        <v>1998.0</v>
      </c>
      <c r="N572" s="10" t="s">
        <v>3715</v>
      </c>
      <c r="O572" s="10" t="s">
        <v>3715</v>
      </c>
      <c r="P572" s="11">
        <v>6211.0</v>
      </c>
      <c r="Q572" s="11">
        <v>6282.0</v>
      </c>
      <c r="R572" s="11">
        <v>23.0</v>
      </c>
      <c r="S572" s="10"/>
      <c r="T572" s="10"/>
      <c r="U572" s="10"/>
      <c r="V572" s="10"/>
      <c r="W572" s="10"/>
      <c r="X572" s="10"/>
      <c r="Y572" s="10"/>
    </row>
    <row r="573">
      <c r="A573" s="10" t="s">
        <v>3716</v>
      </c>
      <c r="B573" s="11">
        <v>1003202.0</v>
      </c>
      <c r="C573" s="10" t="s">
        <v>20</v>
      </c>
      <c r="D573" s="9" t="s">
        <v>3717</v>
      </c>
      <c r="E573" s="10"/>
      <c r="F573" s="10"/>
      <c r="G573" s="10"/>
      <c r="H573" s="10" t="s">
        <v>3718</v>
      </c>
      <c r="I573" s="10" t="s">
        <v>3719</v>
      </c>
      <c r="J573" s="10" t="s">
        <v>3720</v>
      </c>
      <c r="K573" s="10"/>
      <c r="L573" s="10" t="s">
        <v>3720</v>
      </c>
      <c r="M573" s="11">
        <v>1995.0</v>
      </c>
      <c r="N573" s="10"/>
      <c r="O573" s="10"/>
      <c r="P573" s="11">
        <v>7372.0</v>
      </c>
      <c r="Q573" s="10"/>
      <c r="R573" s="11">
        <v>14.5</v>
      </c>
      <c r="S573" s="10"/>
      <c r="T573" s="10"/>
      <c r="U573" s="10"/>
      <c r="V573" s="10"/>
      <c r="W573" s="10"/>
      <c r="X573" s="10"/>
      <c r="Y573" s="10"/>
    </row>
    <row r="574">
      <c r="A574" s="10" t="s">
        <v>3721</v>
      </c>
      <c r="B574" s="11">
        <v>928155.0</v>
      </c>
      <c r="C574" s="10" t="s">
        <v>20</v>
      </c>
      <c r="D574" s="9" t="s">
        <v>3722</v>
      </c>
      <c r="E574" s="10" t="s">
        <v>3723</v>
      </c>
      <c r="F574" s="11">
        <v>928155.0</v>
      </c>
      <c r="G574" s="10"/>
      <c r="H574" s="10" t="s">
        <v>3724</v>
      </c>
      <c r="I574" s="10" t="s">
        <v>3725</v>
      </c>
      <c r="J574" s="10" t="s">
        <v>3726</v>
      </c>
      <c r="K574" s="10" t="s">
        <v>3727</v>
      </c>
      <c r="L574" s="10" t="s">
        <v>3726</v>
      </c>
      <c r="M574" s="11">
        <v>1994.0</v>
      </c>
      <c r="N574" s="10" t="s">
        <v>3728</v>
      </c>
      <c r="O574" s="10" t="s">
        <v>3728</v>
      </c>
      <c r="P574" s="11">
        <v>7261.0</v>
      </c>
      <c r="Q574" s="11">
        <v>7200.0</v>
      </c>
      <c r="R574" s="11">
        <v>13.0</v>
      </c>
      <c r="S574" s="10"/>
      <c r="T574" s="10"/>
      <c r="U574" s="10"/>
      <c r="V574" s="10"/>
      <c r="W574" s="10"/>
      <c r="X574" s="10"/>
      <c r="Y574" s="10"/>
    </row>
    <row r="575">
      <c r="A575" s="10" t="s">
        <v>3729</v>
      </c>
      <c r="B575" s="11">
        <v>1399529.0</v>
      </c>
      <c r="C575" s="10" t="s">
        <v>20</v>
      </c>
      <c r="D575" s="9" t="s">
        <v>3730</v>
      </c>
      <c r="E575" s="10" t="s">
        <v>3731</v>
      </c>
      <c r="F575" s="11">
        <v>1399529.0</v>
      </c>
      <c r="G575" s="10"/>
      <c r="H575" s="10" t="s">
        <v>3732</v>
      </c>
      <c r="I575" s="10" t="s">
        <v>3733</v>
      </c>
      <c r="J575" s="10" t="s">
        <v>3734</v>
      </c>
      <c r="K575" s="10" t="s">
        <v>3734</v>
      </c>
      <c r="L575" s="10" t="s">
        <v>3734</v>
      </c>
      <c r="M575" s="11">
        <v>2014.0</v>
      </c>
      <c r="N575" s="10" t="s">
        <v>3735</v>
      </c>
      <c r="O575" s="10" t="s">
        <v>3735</v>
      </c>
      <c r="P575" s="11">
        <v>8731.0</v>
      </c>
      <c r="Q575" s="11">
        <v>2836.0</v>
      </c>
      <c r="R575" s="11">
        <v>15.0</v>
      </c>
      <c r="S575" s="10"/>
      <c r="T575" s="10"/>
      <c r="U575" s="10"/>
      <c r="V575" s="10"/>
      <c r="W575" s="10"/>
      <c r="X575" s="10"/>
      <c r="Y575" s="10"/>
    </row>
    <row r="576">
      <c r="A576" s="10" t="s">
        <v>3736</v>
      </c>
      <c r="B576" s="11">
        <v>1051556.0</v>
      </c>
      <c r="C576" s="10" t="s">
        <v>20</v>
      </c>
      <c r="D576" s="9" t="s">
        <v>3737</v>
      </c>
      <c r="E576" s="10" t="s">
        <v>3738</v>
      </c>
      <c r="F576" s="11">
        <v>1051556.0</v>
      </c>
      <c r="G576" s="10"/>
      <c r="H576" s="10" t="s">
        <v>3739</v>
      </c>
      <c r="I576" s="10" t="s">
        <v>3740</v>
      </c>
      <c r="J576" s="10" t="s">
        <v>3741</v>
      </c>
      <c r="K576" s="10" t="s">
        <v>3741</v>
      </c>
      <c r="L576" s="10" t="s">
        <v>3741</v>
      </c>
      <c r="M576" s="11">
        <v>1998.0</v>
      </c>
      <c r="N576" s="10" t="s">
        <v>3715</v>
      </c>
      <c r="O576" s="10" t="s">
        <v>3715</v>
      </c>
      <c r="P576" s="11">
        <v>7372.0</v>
      </c>
      <c r="Q576" s="11">
        <v>7812.0</v>
      </c>
      <c r="R576" s="11">
        <v>13.0</v>
      </c>
      <c r="S576" s="10"/>
      <c r="T576" s="10"/>
      <c r="U576" s="10"/>
      <c r="V576" s="10"/>
      <c r="W576" s="10"/>
      <c r="X576" s="10"/>
      <c r="Y576" s="10"/>
    </row>
    <row r="577">
      <c r="A577" s="10" t="s">
        <v>3742</v>
      </c>
      <c r="B577" s="11">
        <v>1280058.0</v>
      </c>
      <c r="C577" s="8" t="s">
        <v>762</v>
      </c>
      <c r="D577" s="9" t="s">
        <v>3743</v>
      </c>
      <c r="E577" s="10" t="s">
        <v>3744</v>
      </c>
      <c r="F577" s="11">
        <v>1280058.0</v>
      </c>
      <c r="G577" s="10"/>
      <c r="H577" s="10" t="s">
        <v>3745</v>
      </c>
      <c r="I577" s="10" t="s">
        <v>3746</v>
      </c>
      <c r="J577" s="10"/>
      <c r="K577" s="10" t="s">
        <v>3747</v>
      </c>
      <c r="L577" s="10"/>
      <c r="M577" s="11">
        <v>2004.0</v>
      </c>
      <c r="N577" s="10" t="s">
        <v>3748</v>
      </c>
      <c r="O577" s="10" t="s">
        <v>3748</v>
      </c>
      <c r="P577" s="11">
        <v>7372.0</v>
      </c>
      <c r="Q577" s="11">
        <v>7370.0</v>
      </c>
      <c r="R577" s="11">
        <v>8.0</v>
      </c>
      <c r="S577" s="10"/>
      <c r="T577" s="10"/>
      <c r="U577" s="10"/>
      <c r="V577" s="10"/>
      <c r="W577" s="10"/>
      <c r="X577" s="10"/>
      <c r="Y577" s="10"/>
    </row>
    <row r="578">
      <c r="A578" s="10" t="s">
        <v>3749</v>
      </c>
      <c r="B578" s="11">
        <v>1340127.0</v>
      </c>
      <c r="C578" s="8" t="s">
        <v>762</v>
      </c>
      <c r="D578" s="9" t="s">
        <v>3750</v>
      </c>
      <c r="E578" s="10" t="s">
        <v>3751</v>
      </c>
      <c r="F578" s="11">
        <v>1340127.0</v>
      </c>
      <c r="G578" s="10"/>
      <c r="H578" s="10" t="s">
        <v>3752</v>
      </c>
      <c r="I578" s="10" t="s">
        <v>3753</v>
      </c>
      <c r="J578" s="10" t="s">
        <v>3754</v>
      </c>
      <c r="K578" s="10" t="s">
        <v>3755</v>
      </c>
      <c r="L578" s="10" t="s">
        <v>3754</v>
      </c>
      <c r="M578" s="11">
        <v>2011.0</v>
      </c>
      <c r="N578" s="10" t="s">
        <v>3756</v>
      </c>
      <c r="O578" s="10" t="s">
        <v>3756</v>
      </c>
      <c r="P578" s="11">
        <v>7375.0</v>
      </c>
      <c r="Q578" s="11">
        <v>7370.0</v>
      </c>
      <c r="R578" s="11">
        <v>10.0</v>
      </c>
      <c r="S578" s="10"/>
      <c r="T578" s="10"/>
      <c r="U578" s="10"/>
      <c r="V578" s="10"/>
      <c r="W578" s="10"/>
      <c r="X578" s="10"/>
      <c r="Y578" s="10"/>
    </row>
    <row r="579">
      <c r="A579" s="10" t="s">
        <v>3757</v>
      </c>
      <c r="B579" s="11">
        <v>1010724.0</v>
      </c>
      <c r="C579" s="8" t="s">
        <v>762</v>
      </c>
      <c r="D579" s="9" t="s">
        <v>3758</v>
      </c>
      <c r="E579" s="10" t="s">
        <v>3759</v>
      </c>
      <c r="F579" s="11">
        <v>1010724.0</v>
      </c>
      <c r="G579" s="10"/>
      <c r="H579" s="10" t="s">
        <v>3760</v>
      </c>
      <c r="I579" s="10" t="s">
        <v>3761</v>
      </c>
      <c r="J579" s="10" t="s">
        <v>3762</v>
      </c>
      <c r="K579" s="10" t="s">
        <v>3762</v>
      </c>
      <c r="L579" s="10" t="s">
        <v>3762</v>
      </c>
      <c r="M579" s="11">
        <v>1997.0</v>
      </c>
      <c r="N579" s="10" t="s">
        <v>3763</v>
      </c>
      <c r="O579" s="10" t="s">
        <v>3763</v>
      </c>
      <c r="P579" s="11">
        <v>7373.0</v>
      </c>
      <c r="Q579" s="11">
        <v>7373.0</v>
      </c>
      <c r="R579" s="11">
        <v>7.5</v>
      </c>
      <c r="S579" s="10"/>
      <c r="T579" s="10"/>
      <c r="U579" s="10"/>
      <c r="V579" s="10"/>
      <c r="W579" s="10"/>
      <c r="X579" s="10"/>
      <c r="Y579" s="10"/>
    </row>
    <row r="580">
      <c r="A580" s="10" t="s">
        <v>3764</v>
      </c>
      <c r="B580" s="11">
        <v>925524.0</v>
      </c>
      <c r="C580" s="8" t="s">
        <v>762</v>
      </c>
      <c r="D580" s="9" t="s">
        <v>3765</v>
      </c>
      <c r="E580" s="10" t="s">
        <v>3766</v>
      </c>
      <c r="F580" s="11">
        <v>925524.0</v>
      </c>
      <c r="G580" s="10"/>
      <c r="H580" s="10" t="s">
        <v>3767</v>
      </c>
      <c r="I580" s="10" t="s">
        <v>3768</v>
      </c>
      <c r="J580" s="10" t="s">
        <v>3769</v>
      </c>
      <c r="K580" s="10" t="s">
        <v>3769</v>
      </c>
      <c r="L580" s="10" t="s">
        <v>3769</v>
      </c>
      <c r="M580" s="11">
        <v>1997.0</v>
      </c>
      <c r="N580" s="10" t="s">
        <v>3770</v>
      </c>
      <c r="O580" s="10" t="s">
        <v>3770</v>
      </c>
      <c r="P580" s="11">
        <v>7372.0</v>
      </c>
      <c r="Q580" s="11">
        <v>7372.0</v>
      </c>
      <c r="R580" s="11">
        <v>7.25</v>
      </c>
      <c r="S580" s="10"/>
      <c r="T580" s="10"/>
      <c r="U580" s="10"/>
      <c r="V580" s="10"/>
      <c r="W580" s="10"/>
      <c r="X580" s="10"/>
      <c r="Y580" s="10"/>
    </row>
    <row r="581">
      <c r="A581" s="10" t="s">
        <v>3771</v>
      </c>
      <c r="B581" s="11">
        <v>1370450.0</v>
      </c>
      <c r="C581" s="10" t="s">
        <v>20</v>
      </c>
      <c r="D581" s="9" t="s">
        <v>3772</v>
      </c>
      <c r="E581" s="10" t="s">
        <v>3773</v>
      </c>
      <c r="F581" s="11">
        <v>1370450.0</v>
      </c>
      <c r="G581" s="11">
        <v>1370450.0</v>
      </c>
      <c r="H581" s="10" t="s">
        <v>3774</v>
      </c>
      <c r="I581" s="10" t="s">
        <v>3775</v>
      </c>
      <c r="J581" s="10" t="s">
        <v>3776</v>
      </c>
      <c r="K581" s="10" t="s">
        <v>3776</v>
      </c>
      <c r="L581" s="10" t="s">
        <v>3776</v>
      </c>
      <c r="M581" s="11">
        <v>2006.0</v>
      </c>
      <c r="N581" s="10" t="s">
        <v>3777</v>
      </c>
      <c r="O581" s="10" t="s">
        <v>3777</v>
      </c>
      <c r="P581" s="11">
        <v>8711.0</v>
      </c>
      <c r="Q581" s="11">
        <v>8711.0</v>
      </c>
      <c r="R581" s="11">
        <v>10.0</v>
      </c>
      <c r="S581" s="10"/>
      <c r="T581" s="10"/>
      <c r="U581" s="10"/>
      <c r="V581" s="10"/>
      <c r="W581" s="10"/>
      <c r="X581" s="10"/>
      <c r="Y581" s="10"/>
    </row>
    <row r="582">
      <c r="A582" s="10" t="s">
        <v>3778</v>
      </c>
      <c r="B582" s="11">
        <v>1041623.0</v>
      </c>
      <c r="C582" s="10" t="s">
        <v>20</v>
      </c>
      <c r="D582" s="9" t="s">
        <v>3779</v>
      </c>
      <c r="E582" s="10" t="s">
        <v>3780</v>
      </c>
      <c r="F582" s="11">
        <v>1041623.0</v>
      </c>
      <c r="G582" s="10"/>
      <c r="H582" s="10" t="s">
        <v>3781</v>
      </c>
      <c r="I582" s="10" t="s">
        <v>3782</v>
      </c>
      <c r="J582" s="10" t="s">
        <v>3783</v>
      </c>
      <c r="K582" s="10" t="s">
        <v>3784</v>
      </c>
      <c r="L582" s="10" t="s">
        <v>3783</v>
      </c>
      <c r="M582" s="11">
        <v>1999.0</v>
      </c>
      <c r="N582" s="10" t="s">
        <v>3785</v>
      </c>
      <c r="O582" s="10" t="s">
        <v>3785</v>
      </c>
      <c r="P582" s="11">
        <v>7375.0</v>
      </c>
      <c r="Q582" s="11">
        <v>8742.0</v>
      </c>
      <c r="R582" s="11">
        <v>8.0</v>
      </c>
      <c r="S582" s="10"/>
      <c r="T582" s="10"/>
      <c r="U582" s="10"/>
      <c r="V582" s="10"/>
      <c r="W582" s="10"/>
      <c r="X582" s="10"/>
      <c r="Y582" s="10"/>
    </row>
    <row r="583">
      <c r="A583" s="10" t="s">
        <v>3786</v>
      </c>
      <c r="B583" s="11">
        <v>946343.0</v>
      </c>
      <c r="C583" s="10" t="s">
        <v>20</v>
      </c>
      <c r="D583" s="9" t="s">
        <v>3787</v>
      </c>
      <c r="E583" s="10" t="s">
        <v>3788</v>
      </c>
      <c r="F583" s="11">
        <v>946343.0</v>
      </c>
      <c r="G583" s="10"/>
      <c r="H583" s="10" t="s">
        <v>3789</v>
      </c>
      <c r="I583" s="10" t="s">
        <v>3790</v>
      </c>
      <c r="J583" s="10" t="s">
        <v>3791</v>
      </c>
      <c r="K583" s="10" t="s">
        <v>3791</v>
      </c>
      <c r="L583" s="10"/>
      <c r="M583" s="11">
        <v>1995.0</v>
      </c>
      <c r="N583" s="10" t="s">
        <v>3431</v>
      </c>
      <c r="O583" s="10" t="s">
        <v>3431</v>
      </c>
      <c r="P583" s="11">
        <v>6141.0</v>
      </c>
      <c r="Q583" s="11">
        <v>6141.0</v>
      </c>
      <c r="R583" s="11">
        <v>16.5</v>
      </c>
      <c r="S583" s="10"/>
      <c r="T583" s="10"/>
      <c r="U583" s="10"/>
      <c r="V583" s="10"/>
      <c r="W583" s="10"/>
      <c r="X583" s="10"/>
      <c r="Y583" s="10"/>
    </row>
    <row r="584">
      <c r="A584" s="10" t="s">
        <v>3792</v>
      </c>
      <c r="B584" s="11">
        <v>1655888.0</v>
      </c>
      <c r="C584" s="10" t="s">
        <v>20</v>
      </c>
      <c r="D584" s="9" t="s">
        <v>3793</v>
      </c>
      <c r="E584" s="10" t="s">
        <v>3794</v>
      </c>
      <c r="F584" s="11">
        <v>1655888.0</v>
      </c>
      <c r="G584" s="10"/>
      <c r="H584" s="10" t="s">
        <v>3795</v>
      </c>
      <c r="I584" s="10" t="s">
        <v>3796</v>
      </c>
      <c r="J584" s="10" t="s">
        <v>3797</v>
      </c>
      <c r="K584" s="10" t="s">
        <v>3798</v>
      </c>
      <c r="L584" s="10" t="s">
        <v>3797</v>
      </c>
      <c r="M584" s="11">
        <v>2019.0</v>
      </c>
      <c r="N584" s="10" t="s">
        <v>3799</v>
      </c>
      <c r="O584" s="10" t="s">
        <v>3799</v>
      </c>
      <c r="P584" s="11">
        <v>6552.0</v>
      </c>
      <c r="Q584" s="11">
        <v>6797.0</v>
      </c>
      <c r="R584" s="11">
        <v>15.3</v>
      </c>
      <c r="S584" s="10"/>
      <c r="T584" s="10"/>
      <c r="U584" s="10"/>
      <c r="V584" s="10"/>
      <c r="W584" s="10"/>
      <c r="X584" s="10"/>
      <c r="Y584" s="10"/>
    </row>
    <row r="585">
      <c r="A585" s="10" t="s">
        <v>3800</v>
      </c>
      <c r="B585" s="11">
        <v>1746466.0</v>
      </c>
      <c r="C585" s="10" t="s">
        <v>20</v>
      </c>
      <c r="D585" s="9" t="s">
        <v>3801</v>
      </c>
      <c r="E585" s="10" t="s">
        <v>3802</v>
      </c>
      <c r="F585" s="11">
        <v>1746466.0</v>
      </c>
      <c r="G585" s="11">
        <v>1746466.0</v>
      </c>
      <c r="H585" s="10" t="s">
        <v>3803</v>
      </c>
      <c r="I585" s="10" t="s">
        <v>3804</v>
      </c>
      <c r="J585" s="10" t="s">
        <v>3805</v>
      </c>
      <c r="K585" s="10" t="s">
        <v>3805</v>
      </c>
      <c r="L585" s="10" t="s">
        <v>3805</v>
      </c>
      <c r="M585" s="11">
        <v>2018.0</v>
      </c>
      <c r="N585" s="10" t="s">
        <v>3806</v>
      </c>
      <c r="O585" s="10" t="s">
        <v>3806</v>
      </c>
      <c r="P585" s="11">
        <v>8731.0</v>
      </c>
      <c r="Q585" s="11">
        <v>2836.0</v>
      </c>
      <c r="R585" s="11">
        <v>14.0</v>
      </c>
      <c r="S585" s="10"/>
      <c r="T585" s="10"/>
      <c r="U585" s="10"/>
      <c r="V585" s="10"/>
      <c r="W585" s="10"/>
      <c r="X585" s="10"/>
      <c r="Y585" s="10"/>
    </row>
    <row r="586">
      <c r="A586" s="10" t="s">
        <v>3807</v>
      </c>
      <c r="B586" s="11">
        <v>1276520.0</v>
      </c>
      <c r="C586" s="24" t="s">
        <v>749</v>
      </c>
      <c r="D586" s="9" t="s">
        <v>3808</v>
      </c>
      <c r="E586" s="10" t="s">
        <v>3809</v>
      </c>
      <c r="F586" s="11">
        <v>1276520.0</v>
      </c>
      <c r="G586" s="11">
        <v>40545.0</v>
      </c>
      <c r="H586" s="10" t="s">
        <v>3810</v>
      </c>
      <c r="I586" s="10" t="s">
        <v>3811</v>
      </c>
      <c r="J586" s="10" t="s">
        <v>416</v>
      </c>
      <c r="K586" s="10" t="s">
        <v>3812</v>
      </c>
      <c r="L586" s="10" t="s">
        <v>416</v>
      </c>
      <c r="M586" s="11">
        <v>2004.0</v>
      </c>
      <c r="N586" s="10" t="s">
        <v>3813</v>
      </c>
      <c r="O586" s="10" t="s">
        <v>3813</v>
      </c>
      <c r="P586" s="11">
        <v>6311.0</v>
      </c>
      <c r="Q586" s="11">
        <v>6311.0</v>
      </c>
      <c r="R586" s="11">
        <v>19.5</v>
      </c>
      <c r="S586" s="10"/>
      <c r="T586" s="10"/>
      <c r="U586" s="10"/>
      <c r="V586" s="10"/>
      <c r="W586" s="10"/>
      <c r="X586" s="10"/>
      <c r="Y586" s="10"/>
    </row>
    <row r="587">
      <c r="A587" s="10" t="s">
        <v>3814</v>
      </c>
      <c r="B587" s="11">
        <v>1097338.0</v>
      </c>
      <c r="C587" s="8" t="s">
        <v>762</v>
      </c>
      <c r="D587" s="9" t="s">
        <v>3815</v>
      </c>
      <c r="E587" s="10" t="s">
        <v>3816</v>
      </c>
      <c r="F587" s="11">
        <v>1097338.0</v>
      </c>
      <c r="G587" s="10"/>
      <c r="H587" s="10" t="s">
        <v>3817</v>
      </c>
      <c r="I587" s="10" t="s">
        <v>3818</v>
      </c>
      <c r="J587" s="10" t="s">
        <v>3819</v>
      </c>
      <c r="K587" s="10" t="s">
        <v>3819</v>
      </c>
      <c r="L587" s="10" t="s">
        <v>3819</v>
      </c>
      <c r="M587" s="11">
        <v>2000.0</v>
      </c>
      <c r="N587" s="10" t="s">
        <v>3820</v>
      </c>
      <c r="O587" s="10" t="s">
        <v>3820</v>
      </c>
      <c r="P587" s="11">
        <v>7372.0</v>
      </c>
      <c r="Q587" s="11">
        <v>7372.0</v>
      </c>
      <c r="R587" s="11">
        <v>20.0</v>
      </c>
      <c r="S587" s="10"/>
      <c r="T587" s="10"/>
      <c r="U587" s="10"/>
      <c r="V587" s="10"/>
      <c r="W587" s="10"/>
      <c r="X587" s="10"/>
      <c r="Y587" s="10"/>
    </row>
    <row r="588">
      <c r="A588" s="10" t="s">
        <v>3821</v>
      </c>
      <c r="B588" s="11">
        <v>1297336.0</v>
      </c>
      <c r="C588" s="8" t="s">
        <v>762</v>
      </c>
      <c r="D588" s="9" t="s">
        <v>3822</v>
      </c>
      <c r="E588" s="10" t="s">
        <v>3823</v>
      </c>
      <c r="F588" s="11">
        <v>1297336.0</v>
      </c>
      <c r="G588" s="10"/>
      <c r="H588" s="10" t="s">
        <v>3824</v>
      </c>
      <c r="I588" s="10" t="s">
        <v>3825</v>
      </c>
      <c r="J588" s="10" t="s">
        <v>3826</v>
      </c>
      <c r="K588" s="10" t="s">
        <v>3826</v>
      </c>
      <c r="L588" s="10" t="s">
        <v>3826</v>
      </c>
      <c r="M588" s="11">
        <v>2010.0</v>
      </c>
      <c r="N588" s="10" t="s">
        <v>3827</v>
      </c>
      <c r="O588" s="10" t="s">
        <v>3827</v>
      </c>
      <c r="P588" s="11">
        <v>7311.0</v>
      </c>
      <c r="Q588" s="11">
        <v>7370.0</v>
      </c>
      <c r="R588" s="11">
        <v>13.0</v>
      </c>
      <c r="S588" s="10"/>
      <c r="T588" s="10"/>
      <c r="U588" s="10"/>
      <c r="V588" s="10"/>
      <c r="W588" s="10"/>
      <c r="X588" s="10"/>
      <c r="Y588" s="10"/>
    </row>
    <row r="589">
      <c r="A589" s="10" t="s">
        <v>3828</v>
      </c>
      <c r="B589" s="11">
        <v>1096479.0</v>
      </c>
      <c r="C589" s="24" t="s">
        <v>749</v>
      </c>
      <c r="D589" s="9" t="s">
        <v>3829</v>
      </c>
      <c r="E589" s="10" t="s">
        <v>3830</v>
      </c>
      <c r="F589" s="11">
        <v>1096479.0</v>
      </c>
      <c r="G589" s="11">
        <v>1434621.0</v>
      </c>
      <c r="H589" s="10" t="s">
        <v>3831</v>
      </c>
      <c r="I589" s="10" t="s">
        <v>3832</v>
      </c>
      <c r="J589" s="10" t="s">
        <v>3833</v>
      </c>
      <c r="K589" s="10" t="s">
        <v>3834</v>
      </c>
      <c r="L589" s="10" t="s">
        <v>3833</v>
      </c>
      <c r="M589" s="11">
        <v>2000.0</v>
      </c>
      <c r="N589" s="10" t="s">
        <v>1032</v>
      </c>
      <c r="O589" s="10" t="s">
        <v>1032</v>
      </c>
      <c r="P589" s="11">
        <v>7389.0</v>
      </c>
      <c r="Q589" s="11">
        <v>6163.0</v>
      </c>
      <c r="R589" s="11">
        <v>12.0</v>
      </c>
      <c r="S589" s="10"/>
      <c r="T589" s="10"/>
      <c r="U589" s="10"/>
      <c r="V589" s="10"/>
      <c r="W589" s="10"/>
      <c r="X589" s="10"/>
      <c r="Y589" s="10"/>
    </row>
    <row r="590">
      <c r="A590" s="10" t="s">
        <v>3835</v>
      </c>
      <c r="B590" s="11">
        <v>916610.0</v>
      </c>
      <c r="C590" s="10" t="s">
        <v>20</v>
      </c>
      <c r="D590" s="9" t="s">
        <v>3836</v>
      </c>
      <c r="E590" s="10" t="s">
        <v>3837</v>
      </c>
      <c r="F590" s="11">
        <v>916610.0</v>
      </c>
      <c r="G590" s="10"/>
      <c r="H590" s="10"/>
      <c r="I590" s="10" t="s">
        <v>3838</v>
      </c>
      <c r="J590" s="10" t="s">
        <v>3839</v>
      </c>
      <c r="K590" s="10" t="s">
        <v>3839</v>
      </c>
      <c r="L590" s="10" t="s">
        <v>3839</v>
      </c>
      <c r="M590" s="11">
        <v>1994.0</v>
      </c>
      <c r="N590" s="10" t="s">
        <v>3840</v>
      </c>
      <c r="O590" s="10" t="s">
        <v>3840</v>
      </c>
      <c r="P590" s="11">
        <v>6211.0</v>
      </c>
      <c r="Q590" s="11">
        <v>6282.0</v>
      </c>
      <c r="R590" s="11">
        <v>12.5</v>
      </c>
      <c r="S590" s="10"/>
      <c r="T590" s="10"/>
      <c r="U590" s="10"/>
      <c r="V590" s="10"/>
      <c r="W590" s="10"/>
      <c r="X590" s="10"/>
      <c r="Y590" s="10"/>
    </row>
    <row r="591">
      <c r="A591" s="10" t="s">
        <v>3841</v>
      </c>
      <c r="B591" s="11">
        <v>932203.0</v>
      </c>
      <c r="C591" s="10" t="s">
        <v>20</v>
      </c>
      <c r="D591" s="9" t="s">
        <v>3842</v>
      </c>
      <c r="E591" s="10" t="s">
        <v>3843</v>
      </c>
      <c r="F591" s="11">
        <v>932203.0</v>
      </c>
      <c r="G591" s="10"/>
      <c r="H591" s="10" t="s">
        <v>3844</v>
      </c>
      <c r="I591" s="10" t="s">
        <v>3845</v>
      </c>
      <c r="J591" s="10" t="s">
        <v>3846</v>
      </c>
      <c r="K591" s="10" t="s">
        <v>3847</v>
      </c>
      <c r="L591" s="10" t="s">
        <v>3846</v>
      </c>
      <c r="M591" s="11">
        <v>1994.0</v>
      </c>
      <c r="N591" s="10" t="s">
        <v>3848</v>
      </c>
      <c r="O591" s="10" t="s">
        <v>3848</v>
      </c>
      <c r="P591" s="11">
        <v>7372.0</v>
      </c>
      <c r="Q591" s="11">
        <v>7372.0</v>
      </c>
      <c r="R591" s="11">
        <v>8.0</v>
      </c>
      <c r="S591" s="10"/>
      <c r="T591" s="10"/>
      <c r="U591" s="10"/>
      <c r="V591" s="10"/>
      <c r="W591" s="10"/>
      <c r="X591" s="10"/>
      <c r="Y591" s="10"/>
    </row>
    <row r="592">
      <c r="A592" s="10" t="s">
        <v>3849</v>
      </c>
      <c r="B592" s="11">
        <v>1288847.0</v>
      </c>
      <c r="C592" s="8" t="s">
        <v>762</v>
      </c>
      <c r="D592" s="9" t="s">
        <v>3850</v>
      </c>
      <c r="E592" s="10" t="s">
        <v>3851</v>
      </c>
      <c r="F592" s="11">
        <v>1288847.0</v>
      </c>
      <c r="G592" s="11">
        <v>1288847.0</v>
      </c>
      <c r="H592" s="10" t="s">
        <v>3852</v>
      </c>
      <c r="I592" s="10" t="s">
        <v>3853</v>
      </c>
      <c r="J592" s="10" t="s">
        <v>3854</v>
      </c>
      <c r="K592" s="10" t="s">
        <v>3854</v>
      </c>
      <c r="L592" s="10" t="s">
        <v>3854</v>
      </c>
      <c r="M592" s="11">
        <v>2014.0</v>
      </c>
      <c r="N592" s="10" t="s">
        <v>3855</v>
      </c>
      <c r="O592" s="10" t="s">
        <v>3855</v>
      </c>
      <c r="P592" s="11">
        <v>7372.0</v>
      </c>
      <c r="Q592" s="11">
        <v>7370.0</v>
      </c>
      <c r="R592" s="11">
        <v>7.0</v>
      </c>
      <c r="S592" s="10"/>
      <c r="T592" s="10"/>
      <c r="U592" s="10"/>
      <c r="V592" s="10"/>
      <c r="W592" s="10"/>
      <c r="X592" s="10"/>
      <c r="Y592" s="10"/>
    </row>
    <row r="593">
      <c r="A593" s="10" t="s">
        <v>3856</v>
      </c>
      <c r="B593" s="11">
        <v>1055286.0</v>
      </c>
      <c r="C593" s="24" t="s">
        <v>749</v>
      </c>
      <c r="D593" s="9" t="s">
        <v>3857</v>
      </c>
      <c r="E593" s="10" t="s">
        <v>3858</v>
      </c>
      <c r="F593" s="11">
        <v>1055286.0</v>
      </c>
      <c r="G593" s="10"/>
      <c r="H593" s="10" t="s">
        <v>3859</v>
      </c>
      <c r="I593" s="10" t="s">
        <v>3860</v>
      </c>
      <c r="J593" s="10" t="s">
        <v>3861</v>
      </c>
      <c r="K593" s="10" t="s">
        <v>3861</v>
      </c>
      <c r="L593" s="10" t="s">
        <v>3861</v>
      </c>
      <c r="M593" s="11">
        <v>1998.0</v>
      </c>
      <c r="N593" s="10" t="s">
        <v>3862</v>
      </c>
      <c r="O593" s="10" t="s">
        <v>3862</v>
      </c>
      <c r="P593" s="11">
        <v>6162.0</v>
      </c>
      <c r="Q593" s="11">
        <v>6162.0</v>
      </c>
      <c r="R593" s="11">
        <v>10.0</v>
      </c>
      <c r="S593" s="10"/>
      <c r="T593" s="10"/>
      <c r="U593" s="10"/>
      <c r="V593" s="10"/>
      <c r="W593" s="10"/>
      <c r="X593" s="10"/>
      <c r="Y593" s="10"/>
    </row>
    <row r="594">
      <c r="A594" s="10" t="s">
        <v>3863</v>
      </c>
      <c r="B594" s="11">
        <v>736260.0</v>
      </c>
      <c r="C594" s="10" t="s">
        <v>20</v>
      </c>
      <c r="D594" s="9" t="s">
        <v>3864</v>
      </c>
      <c r="E594" s="10" t="s">
        <v>3865</v>
      </c>
      <c r="F594" s="11">
        <v>736260.0</v>
      </c>
      <c r="G594" s="10"/>
      <c r="H594" s="10" t="s">
        <v>3866</v>
      </c>
      <c r="I594" s="10" t="s">
        <v>3867</v>
      </c>
      <c r="J594" s="10" t="s">
        <v>3868</v>
      </c>
      <c r="K594" s="10" t="s">
        <v>3868</v>
      </c>
      <c r="L594" s="10" t="s">
        <v>3868</v>
      </c>
      <c r="M594" s="11">
        <v>2000.0</v>
      </c>
      <c r="N594" s="10" t="s">
        <v>3869</v>
      </c>
      <c r="O594" s="10" t="s">
        <v>3869</v>
      </c>
      <c r="P594" s="11">
        <v>6311.0</v>
      </c>
      <c r="Q594" s="11">
        <v>6311.0</v>
      </c>
      <c r="R594" s="11">
        <v>17.0</v>
      </c>
      <c r="S594" s="10"/>
      <c r="T594" s="10"/>
      <c r="U594" s="10"/>
      <c r="V594" s="10"/>
      <c r="W594" s="10"/>
      <c r="X594" s="10"/>
      <c r="Y594" s="10"/>
    </row>
    <row r="595">
      <c r="A595" s="10" t="s">
        <v>3870</v>
      </c>
      <c r="B595" s="11">
        <v>948556.0</v>
      </c>
      <c r="C595" s="10" t="s">
        <v>20</v>
      </c>
      <c r="D595" s="9" t="s">
        <v>3871</v>
      </c>
      <c r="E595" s="10" t="s">
        <v>3872</v>
      </c>
      <c r="F595" s="11">
        <v>948556.0</v>
      </c>
      <c r="G595" s="10"/>
      <c r="H595" s="10" t="s">
        <v>3873</v>
      </c>
      <c r="I595" s="10" t="s">
        <v>3874</v>
      </c>
      <c r="J595" s="10" t="s">
        <v>3875</v>
      </c>
      <c r="K595" s="10" t="s">
        <v>3875</v>
      </c>
      <c r="L595" s="10" t="s">
        <v>3875</v>
      </c>
      <c r="M595" s="11">
        <v>1995.0</v>
      </c>
      <c r="N595" s="10" t="s">
        <v>3876</v>
      </c>
      <c r="O595" s="10" t="s">
        <v>3876</v>
      </c>
      <c r="P595" s="11">
        <v>6324.0</v>
      </c>
      <c r="Q595" s="11">
        <v>6324.0</v>
      </c>
      <c r="R595" s="11">
        <v>22.0</v>
      </c>
      <c r="S595" s="10"/>
      <c r="T595" s="10"/>
      <c r="U595" s="10"/>
      <c r="V595" s="10"/>
      <c r="W595" s="10"/>
      <c r="X595" s="10"/>
      <c r="Y595" s="10"/>
    </row>
    <row r="596">
      <c r="A596" s="10" t="s">
        <v>3877</v>
      </c>
      <c r="B596" s="11">
        <v>1373561.0</v>
      </c>
      <c r="C596" s="10" t="s">
        <v>20</v>
      </c>
      <c r="D596" s="9" t="s">
        <v>3878</v>
      </c>
      <c r="E596" s="10" t="s">
        <v>3879</v>
      </c>
      <c r="F596" s="11">
        <v>1373561.0</v>
      </c>
      <c r="G596" s="10"/>
      <c r="H596" s="10" t="s">
        <v>3880</v>
      </c>
      <c r="I596" s="10" t="s">
        <v>3881</v>
      </c>
      <c r="J596" s="10"/>
      <c r="K596" s="10" t="s">
        <v>3882</v>
      </c>
      <c r="L596" s="10"/>
      <c r="M596" s="11">
        <v>2006.0</v>
      </c>
      <c r="N596" s="10" t="s">
        <v>3883</v>
      </c>
      <c r="O596" s="10" t="s">
        <v>3883</v>
      </c>
      <c r="P596" s="11">
        <v>6141.0</v>
      </c>
      <c r="Q596" s="11">
        <v>6159.0</v>
      </c>
      <c r="R596" s="11">
        <v>17.0</v>
      </c>
      <c r="S596" s="10"/>
      <c r="T596" s="10"/>
      <c r="U596" s="10"/>
      <c r="V596" s="10"/>
      <c r="W596" s="10"/>
      <c r="X596" s="10"/>
      <c r="Y596" s="10"/>
    </row>
    <row r="597">
      <c r="A597" s="10" t="s">
        <v>3884</v>
      </c>
      <c r="B597" s="11">
        <v>1053584.0</v>
      </c>
      <c r="C597" s="10" t="s">
        <v>20</v>
      </c>
      <c r="D597" s="9" t="s">
        <v>2712</v>
      </c>
      <c r="E597" s="10" t="s">
        <v>3885</v>
      </c>
      <c r="F597" s="11">
        <v>1053584.0</v>
      </c>
      <c r="G597" s="10"/>
      <c r="H597" s="10" t="s">
        <v>3886</v>
      </c>
      <c r="I597" s="10" t="s">
        <v>3887</v>
      </c>
      <c r="J597" s="10" t="s">
        <v>3888</v>
      </c>
      <c r="K597" s="10" t="s">
        <v>3888</v>
      </c>
      <c r="L597" s="10" t="s">
        <v>3888</v>
      </c>
      <c r="M597" s="11">
        <v>1998.0</v>
      </c>
      <c r="N597" s="10"/>
      <c r="O597" s="10"/>
      <c r="P597" s="11">
        <v>6021.0</v>
      </c>
      <c r="Q597" s="11">
        <v>6020.0</v>
      </c>
      <c r="R597" s="11">
        <v>10.0</v>
      </c>
      <c r="S597" s="10"/>
      <c r="T597" s="10"/>
      <c r="U597" s="10"/>
      <c r="V597" s="10"/>
      <c r="W597" s="10"/>
      <c r="X597" s="10"/>
      <c r="Y597" s="10"/>
    </row>
    <row r="598">
      <c r="A598" s="10" t="s">
        <v>3889</v>
      </c>
      <c r="B598" s="11">
        <v>1000209.0</v>
      </c>
      <c r="C598" s="10" t="s">
        <v>20</v>
      </c>
      <c r="D598" s="9" t="s">
        <v>3890</v>
      </c>
      <c r="E598" s="10" t="s">
        <v>3891</v>
      </c>
      <c r="F598" s="11">
        <v>1000209.0</v>
      </c>
      <c r="G598" s="10"/>
      <c r="H598" s="10" t="s">
        <v>3892</v>
      </c>
      <c r="I598" s="10" t="s">
        <v>3893</v>
      </c>
      <c r="J598" s="10" t="s">
        <v>3894</v>
      </c>
      <c r="K598" s="10" t="s">
        <v>3895</v>
      </c>
      <c r="L598" s="10" t="s">
        <v>3894</v>
      </c>
      <c r="M598" s="11">
        <v>1996.0</v>
      </c>
      <c r="N598" s="10" t="s">
        <v>3896</v>
      </c>
      <c r="O598" s="10" t="s">
        <v>3896</v>
      </c>
      <c r="P598" s="11">
        <v>6141.0</v>
      </c>
      <c r="Q598" s="11">
        <v>6159.0</v>
      </c>
      <c r="R598" s="11">
        <v>11.0</v>
      </c>
      <c r="S598" s="10"/>
      <c r="T598" s="10"/>
      <c r="U598" s="10"/>
      <c r="V598" s="10"/>
      <c r="W598" s="10"/>
      <c r="X598" s="10"/>
      <c r="Y598" s="10"/>
    </row>
    <row r="599">
      <c r="A599" s="10" t="s">
        <v>3897</v>
      </c>
      <c r="B599" s="11">
        <v>1532346.0</v>
      </c>
      <c r="C599" s="10" t="s">
        <v>20</v>
      </c>
      <c r="D599" s="9" t="s">
        <v>3898</v>
      </c>
      <c r="E599" s="10" t="s">
        <v>3899</v>
      </c>
      <c r="F599" s="11">
        <v>1532346.0</v>
      </c>
      <c r="G599" s="10"/>
      <c r="H599" s="10" t="s">
        <v>3900</v>
      </c>
      <c r="I599" s="10" t="s">
        <v>3901</v>
      </c>
      <c r="J599" s="10" t="s">
        <v>3902</v>
      </c>
      <c r="K599" s="10" t="s">
        <v>3902</v>
      </c>
      <c r="L599" s="10" t="s">
        <v>3902</v>
      </c>
      <c r="M599" s="11">
        <v>2019.0</v>
      </c>
      <c r="N599" s="10" t="s">
        <v>3903</v>
      </c>
      <c r="O599" s="10" t="s">
        <v>3903</v>
      </c>
      <c r="P599" s="11">
        <v>8731.0</v>
      </c>
      <c r="Q599" s="11">
        <v>2836.0</v>
      </c>
      <c r="R599" s="11">
        <v>17.0</v>
      </c>
      <c r="S599" s="10"/>
      <c r="T599" s="10"/>
      <c r="U599" s="10"/>
      <c r="V599" s="10"/>
      <c r="W599" s="10"/>
      <c r="X599" s="10"/>
      <c r="Y599" s="10"/>
    </row>
    <row r="600">
      <c r="A600" s="10" t="s">
        <v>3904</v>
      </c>
      <c r="B600" s="11">
        <v>1412043.0</v>
      </c>
      <c r="C600" s="10" t="s">
        <v>20</v>
      </c>
      <c r="D600" s="9" t="s">
        <v>3905</v>
      </c>
      <c r="E600" s="10" t="s">
        <v>3906</v>
      </c>
      <c r="F600" s="11">
        <v>1412043.0</v>
      </c>
      <c r="G600" s="10"/>
      <c r="H600" s="10" t="s">
        <v>3907</v>
      </c>
      <c r="I600" s="10" t="s">
        <v>3908</v>
      </c>
      <c r="J600" s="10" t="s">
        <v>3909</v>
      </c>
      <c r="K600" s="10" t="s">
        <v>3909</v>
      </c>
      <c r="L600" s="10" t="s">
        <v>3909</v>
      </c>
      <c r="M600" s="11">
        <v>2014.0</v>
      </c>
      <c r="N600" s="10" t="s">
        <v>3855</v>
      </c>
      <c r="O600" s="10" t="s">
        <v>3855</v>
      </c>
      <c r="P600" s="11">
        <v>7372.0</v>
      </c>
      <c r="Q600" s="11">
        <v>7370.0</v>
      </c>
      <c r="R600" s="11">
        <v>19.0</v>
      </c>
      <c r="S600" s="10"/>
      <c r="T600" s="10"/>
      <c r="U600" s="10"/>
      <c r="V600" s="10"/>
      <c r="W600" s="10"/>
      <c r="X600" s="10"/>
      <c r="Y600" s="10"/>
    </row>
    <row r="601">
      <c r="A601" s="10" t="s">
        <v>3910</v>
      </c>
      <c r="B601" s="11">
        <v>945770.0</v>
      </c>
      <c r="C601" s="10" t="s">
        <v>20</v>
      </c>
      <c r="D601" s="9" t="s">
        <v>3911</v>
      </c>
      <c r="E601" s="10" t="s">
        <v>3912</v>
      </c>
      <c r="F601" s="11">
        <v>945770.0</v>
      </c>
      <c r="G601" s="11">
        <v>1360901.0</v>
      </c>
      <c r="H601" s="10" t="s">
        <v>3913</v>
      </c>
      <c r="I601" s="10" t="s">
        <v>3914</v>
      </c>
      <c r="J601" s="10" t="s">
        <v>3915</v>
      </c>
      <c r="K601" s="10" t="s">
        <v>3916</v>
      </c>
      <c r="L601" s="10" t="s">
        <v>3915</v>
      </c>
      <c r="M601" s="11">
        <v>1996.0</v>
      </c>
      <c r="N601" s="10" t="s">
        <v>3917</v>
      </c>
      <c r="O601" s="10" t="s">
        <v>3917</v>
      </c>
      <c r="P601" s="11">
        <v>6211.0</v>
      </c>
      <c r="Q601" s="11">
        <v>6211.0</v>
      </c>
      <c r="R601" s="11">
        <v>18.5</v>
      </c>
      <c r="S601" s="10"/>
      <c r="T601" s="10"/>
      <c r="U601" s="10"/>
      <c r="V601" s="10"/>
      <c r="W601" s="10"/>
      <c r="X601" s="10"/>
      <c r="Y601" s="10"/>
    </row>
    <row r="602">
      <c r="A602" s="10" t="s">
        <v>3918</v>
      </c>
      <c r="B602" s="11">
        <v>1486800.0</v>
      </c>
      <c r="C602" s="24" t="s">
        <v>749</v>
      </c>
      <c r="D602" s="9" t="s">
        <v>3919</v>
      </c>
      <c r="E602" s="10" t="s">
        <v>3920</v>
      </c>
      <c r="F602" s="11">
        <v>1486800.0</v>
      </c>
      <c r="G602" s="10"/>
      <c r="H602" s="10" t="s">
        <v>3921</v>
      </c>
      <c r="I602" s="10" t="s">
        <v>3922</v>
      </c>
      <c r="J602" s="10" t="s">
        <v>3923</v>
      </c>
      <c r="K602" s="10" t="s">
        <v>3924</v>
      </c>
      <c r="L602" s="10" t="s">
        <v>3923</v>
      </c>
      <c r="M602" s="11">
        <v>2010.0</v>
      </c>
      <c r="N602" s="10" t="s">
        <v>3925</v>
      </c>
      <c r="O602" s="10" t="s">
        <v>3925</v>
      </c>
      <c r="P602" s="11">
        <v>7389.0</v>
      </c>
      <c r="Q602" s="11">
        <v>6099.0</v>
      </c>
      <c r="R602" s="11">
        <v>12.0</v>
      </c>
      <c r="S602" s="10"/>
      <c r="T602" s="10"/>
      <c r="U602" s="10"/>
      <c r="V602" s="10"/>
      <c r="W602" s="10"/>
      <c r="X602" s="10"/>
      <c r="Y602" s="10"/>
    </row>
    <row r="603">
      <c r="A603" s="16" t="s">
        <v>3926</v>
      </c>
      <c r="B603" s="16">
        <v>1036992.0</v>
      </c>
      <c r="C603" s="8" t="s">
        <v>20</v>
      </c>
      <c r="D603" s="8" t="s">
        <v>3927</v>
      </c>
      <c r="E603" s="16" t="s">
        <v>3928</v>
      </c>
      <c r="F603" s="16">
        <v>1036992.0</v>
      </c>
      <c r="G603" s="4"/>
      <c r="H603" s="16">
        <v>1036992.0</v>
      </c>
      <c r="I603" s="16">
        <v>704718.0</v>
      </c>
      <c r="J603" s="16" t="s">
        <v>3929</v>
      </c>
      <c r="K603" s="16" t="s">
        <v>3929</v>
      </c>
      <c r="L603" s="16" t="s">
        <v>3929</v>
      </c>
      <c r="M603" s="16">
        <v>1997.0</v>
      </c>
      <c r="N603" s="18">
        <v>35592.0</v>
      </c>
      <c r="O603" s="18">
        <v>35592.0</v>
      </c>
      <c r="P603" s="16">
        <v>7389.0</v>
      </c>
      <c r="Q603" s="16">
        <v>5961.0</v>
      </c>
      <c r="R603" s="16">
        <v>16.0</v>
      </c>
      <c r="S603" s="4"/>
      <c r="T603" s="4"/>
      <c r="U603" s="4"/>
      <c r="V603" s="4"/>
      <c r="W603" s="4"/>
      <c r="X603" s="4"/>
      <c r="Y603" s="4"/>
    </row>
    <row r="604">
      <c r="A604" s="16" t="s">
        <v>3930</v>
      </c>
      <c r="B604" s="16">
        <v>1549346.0</v>
      </c>
      <c r="C604" s="8" t="s">
        <v>20</v>
      </c>
      <c r="D604" s="8" t="s">
        <v>3931</v>
      </c>
      <c r="E604" s="16" t="s">
        <v>3932</v>
      </c>
      <c r="F604" s="16">
        <v>1549346.0</v>
      </c>
      <c r="G604" s="16">
        <v>1549346.0</v>
      </c>
      <c r="H604" s="16">
        <v>1549346.0</v>
      </c>
      <c r="I604" s="16">
        <v>825690.0</v>
      </c>
      <c r="J604" s="16" t="s">
        <v>3933</v>
      </c>
      <c r="K604" s="16" t="s">
        <v>3933</v>
      </c>
      <c r="L604" s="16" t="s">
        <v>3933</v>
      </c>
      <c r="M604" s="16">
        <v>2012.0</v>
      </c>
      <c r="N604" s="18">
        <v>41193.0</v>
      </c>
      <c r="O604" s="18">
        <v>41193.0</v>
      </c>
      <c r="P604" s="16">
        <v>7375.0</v>
      </c>
      <c r="Q604" s="16">
        <v>7370.0</v>
      </c>
      <c r="R604" s="16">
        <v>17.0</v>
      </c>
      <c r="S604" s="4"/>
      <c r="T604" s="4"/>
      <c r="U604" s="4"/>
      <c r="V604" s="4"/>
      <c r="W604" s="4"/>
      <c r="X604" s="4"/>
      <c r="Y604" s="4"/>
    </row>
    <row r="605">
      <c r="A605" s="16" t="s">
        <v>3934</v>
      </c>
      <c r="B605" s="16">
        <v>1570827.0</v>
      </c>
      <c r="C605" s="8" t="s">
        <v>20</v>
      </c>
      <c r="D605" s="8" t="s">
        <v>3935</v>
      </c>
      <c r="E605" s="16" t="s">
        <v>3936</v>
      </c>
      <c r="F605" s="16">
        <v>1570827.0</v>
      </c>
      <c r="G605" s="4"/>
      <c r="H605" s="16">
        <v>1570827.0</v>
      </c>
      <c r="I605" s="16" t="s">
        <v>3937</v>
      </c>
      <c r="J605" s="4"/>
      <c r="K605" s="16" t="s">
        <v>3938</v>
      </c>
      <c r="L605" s="4"/>
      <c r="M605" s="16">
        <v>2018.0</v>
      </c>
      <c r="N605" s="18">
        <v>43139.0</v>
      </c>
      <c r="O605" s="18">
        <v>43139.0</v>
      </c>
      <c r="P605" s="16">
        <v>6282.0</v>
      </c>
      <c r="Q605" s="16">
        <v>6282.0</v>
      </c>
      <c r="R605" s="16">
        <v>13.0</v>
      </c>
      <c r="S605" s="4"/>
      <c r="T605" s="4"/>
      <c r="U605" s="4"/>
      <c r="V605" s="4"/>
      <c r="W605" s="4"/>
      <c r="X605" s="4"/>
      <c r="Y605" s="4"/>
    </row>
    <row r="606">
      <c r="A606" s="16" t="s">
        <v>3939</v>
      </c>
      <c r="B606" s="16">
        <v>1086937.0</v>
      </c>
      <c r="C606" s="8" t="s">
        <v>749</v>
      </c>
      <c r="D606" s="8" t="s">
        <v>3940</v>
      </c>
      <c r="E606" s="16" t="s">
        <v>3941</v>
      </c>
      <c r="F606" s="16">
        <v>1086937.0</v>
      </c>
      <c r="G606" s="4"/>
      <c r="H606" s="16">
        <v>1086937.0</v>
      </c>
      <c r="I606" s="16" t="s">
        <v>3942</v>
      </c>
      <c r="J606" s="16" t="s">
        <v>3943</v>
      </c>
      <c r="K606" s="16" t="s">
        <v>3944</v>
      </c>
      <c r="L606" s="16" t="s">
        <v>3943</v>
      </c>
      <c r="M606" s="16">
        <v>1999.0</v>
      </c>
      <c r="N606" s="18">
        <v>36426.0</v>
      </c>
      <c r="O606" s="18">
        <v>36426.0</v>
      </c>
      <c r="P606" s="16">
        <v>7311.0</v>
      </c>
      <c r="Q606" s="16">
        <v>7331.0</v>
      </c>
      <c r="R606" s="16">
        <v>9.0</v>
      </c>
      <c r="S606" s="4"/>
      <c r="T606" s="4"/>
      <c r="U606" s="4"/>
      <c r="V606" s="4"/>
      <c r="W606" s="4"/>
      <c r="X606" s="4"/>
      <c r="Y606" s="4"/>
    </row>
    <row r="607">
      <c r="A607" s="16" t="s">
        <v>3945</v>
      </c>
      <c r="B607" s="16">
        <v>866253.0</v>
      </c>
      <c r="C607" s="8" t="s">
        <v>20</v>
      </c>
      <c r="D607" s="8" t="s">
        <v>3946</v>
      </c>
      <c r="E607" s="4"/>
      <c r="F607" s="4"/>
      <c r="G607" s="4"/>
      <c r="H607" s="16">
        <v>866253.0</v>
      </c>
      <c r="I607" s="16">
        <v>178778.0</v>
      </c>
      <c r="J607" s="4"/>
      <c r="K607" s="4"/>
      <c r="L607" s="4"/>
      <c r="M607" s="16">
        <v>1995.0</v>
      </c>
      <c r="N607" s="4"/>
      <c r="O607" s="4"/>
      <c r="P607" s="16">
        <v>6162.0</v>
      </c>
      <c r="Q607" s="4"/>
      <c r="R607" s="16">
        <v>18.0</v>
      </c>
      <c r="S607" s="4"/>
      <c r="T607" s="4"/>
      <c r="U607" s="4"/>
      <c r="V607" s="4"/>
      <c r="W607" s="4"/>
      <c r="X607" s="4"/>
      <c r="Y607" s="4"/>
    </row>
    <row r="608">
      <c r="A608" s="16" t="s">
        <v>3947</v>
      </c>
      <c r="B608" s="16">
        <v>1534133.0</v>
      </c>
      <c r="C608" s="8" t="s">
        <v>20</v>
      </c>
      <c r="D608" s="8" t="s">
        <v>3948</v>
      </c>
      <c r="E608" s="16" t="s">
        <v>3949</v>
      </c>
      <c r="F608" s="16">
        <v>1534133.0</v>
      </c>
      <c r="G608" s="4"/>
      <c r="H608" s="16">
        <v>1534133.0</v>
      </c>
      <c r="I608" s="16" t="s">
        <v>3950</v>
      </c>
      <c r="J608" s="16" t="s">
        <v>3951</v>
      </c>
      <c r="K608" s="16" t="s">
        <v>3952</v>
      </c>
      <c r="L608" s="16" t="s">
        <v>3951</v>
      </c>
      <c r="M608" s="16">
        <v>2020.0</v>
      </c>
      <c r="N608" s="18">
        <v>44099.0</v>
      </c>
      <c r="O608" s="18">
        <v>44099.0</v>
      </c>
      <c r="P608" s="16">
        <v>8731.0</v>
      </c>
      <c r="Q608" s="16">
        <v>2834.0</v>
      </c>
      <c r="R608" s="16">
        <v>16.0</v>
      </c>
      <c r="S608" s="4"/>
      <c r="T608" s="4"/>
      <c r="U608" s="4"/>
      <c r="V608" s="4"/>
      <c r="W608" s="4"/>
      <c r="X608" s="4"/>
      <c r="Y608" s="4"/>
    </row>
    <row r="609">
      <c r="A609" s="16" t="s">
        <v>3953</v>
      </c>
      <c r="B609" s="16">
        <v>1325228.0</v>
      </c>
      <c r="C609" s="8" t="s">
        <v>762</v>
      </c>
      <c r="D609" s="8" t="s">
        <v>3954</v>
      </c>
      <c r="E609" s="16" t="s">
        <v>3955</v>
      </c>
      <c r="F609" s="16">
        <v>1325228.0</v>
      </c>
      <c r="G609" s="4"/>
      <c r="H609" s="16">
        <v>1325228.0</v>
      </c>
      <c r="I609" s="16" t="s">
        <v>3956</v>
      </c>
      <c r="J609" s="16" t="s">
        <v>3957</v>
      </c>
      <c r="K609" s="16" t="s">
        <v>3958</v>
      </c>
      <c r="L609" s="16" t="s">
        <v>3957</v>
      </c>
      <c r="M609" s="16">
        <v>2006.0</v>
      </c>
      <c r="N609" s="18">
        <v>38800.0</v>
      </c>
      <c r="O609" s="18">
        <v>38800.0</v>
      </c>
      <c r="P609" s="16">
        <v>7389.0</v>
      </c>
      <c r="Q609" s="16">
        <v>6163.0</v>
      </c>
      <c r="R609" s="16">
        <v>17.0</v>
      </c>
      <c r="S609" s="4"/>
      <c r="T609" s="4"/>
      <c r="U609" s="4"/>
      <c r="V609" s="4"/>
      <c r="W609" s="4"/>
      <c r="X609" s="4"/>
      <c r="Y609" s="4"/>
    </row>
    <row r="610">
      <c r="A610" s="16" t="s">
        <v>3959</v>
      </c>
      <c r="B610" s="16">
        <v>1041403.0</v>
      </c>
      <c r="C610" s="8" t="s">
        <v>749</v>
      </c>
      <c r="D610" s="8" t="s">
        <v>3960</v>
      </c>
      <c r="E610" s="16" t="s">
        <v>3961</v>
      </c>
      <c r="F610" s="16">
        <v>1041403.0</v>
      </c>
      <c r="G610" s="4"/>
      <c r="H610" s="16">
        <v>1041403.0</v>
      </c>
      <c r="I610" s="16">
        <v>218725.0</v>
      </c>
      <c r="J610" s="16" t="s">
        <v>3962</v>
      </c>
      <c r="K610" s="16" t="s">
        <v>3963</v>
      </c>
      <c r="L610" s="16" t="s">
        <v>3962</v>
      </c>
      <c r="M610" s="16">
        <v>2000.0</v>
      </c>
      <c r="N610" s="18">
        <v>36628.0</v>
      </c>
      <c r="O610" s="18">
        <v>36628.0</v>
      </c>
      <c r="P610" s="16">
        <v>7372.0</v>
      </c>
      <c r="Q610" s="16">
        <v>7372.0</v>
      </c>
      <c r="R610" s="16">
        <v>8.0</v>
      </c>
      <c r="S610" s="4"/>
      <c r="T610" s="4"/>
      <c r="U610" s="4"/>
      <c r="V610" s="4"/>
      <c r="W610" s="4"/>
      <c r="X610" s="4"/>
      <c r="Y610" s="4"/>
    </row>
    <row r="611">
      <c r="A611" s="16" t="s">
        <v>3964</v>
      </c>
      <c r="B611" s="16">
        <v>1056288.0</v>
      </c>
      <c r="C611" s="8" t="s">
        <v>20</v>
      </c>
      <c r="D611" s="8" t="s">
        <v>3965</v>
      </c>
      <c r="E611" s="16" t="s">
        <v>3966</v>
      </c>
      <c r="F611" s="16">
        <v>1056288.0</v>
      </c>
      <c r="G611" s="4"/>
      <c r="H611" s="16">
        <v>1056288.0</v>
      </c>
      <c r="I611" s="16">
        <v>314211.0</v>
      </c>
      <c r="J611" s="16" t="s">
        <v>3967</v>
      </c>
      <c r="K611" s="16" t="s">
        <v>3968</v>
      </c>
      <c r="L611" s="16" t="s">
        <v>3967</v>
      </c>
      <c r="M611" s="16">
        <v>1998.0</v>
      </c>
      <c r="N611" s="18">
        <v>35929.0</v>
      </c>
      <c r="O611" s="18">
        <v>35929.0</v>
      </c>
      <c r="P611" s="16">
        <v>6282.0</v>
      </c>
      <c r="Q611" s="16">
        <v>6282.0</v>
      </c>
      <c r="R611" s="16">
        <v>19.0</v>
      </c>
      <c r="S611" s="4"/>
      <c r="T611" s="4"/>
      <c r="U611" s="4"/>
      <c r="V611" s="4"/>
      <c r="W611" s="4"/>
      <c r="X611" s="4"/>
      <c r="Y611" s="4"/>
    </row>
    <row r="612">
      <c r="A612" s="16" t="s">
        <v>3969</v>
      </c>
      <c r="B612" s="16">
        <v>1038280.0</v>
      </c>
      <c r="C612" s="8" t="s">
        <v>20</v>
      </c>
      <c r="D612" s="8" t="s">
        <v>3970</v>
      </c>
      <c r="E612" s="16" t="s">
        <v>3971</v>
      </c>
      <c r="F612" s="16">
        <v>1038280.0</v>
      </c>
      <c r="G612" s="4"/>
      <c r="H612" s="16">
        <v>1038280.0</v>
      </c>
      <c r="I612" s="16">
        <v>554153.0</v>
      </c>
      <c r="J612" s="16" t="s">
        <v>3972</v>
      </c>
      <c r="K612" s="16" t="s">
        <v>3972</v>
      </c>
      <c r="L612" s="16" t="s">
        <v>3972</v>
      </c>
      <c r="M612" s="16">
        <v>1997.0</v>
      </c>
      <c r="N612" s="18">
        <v>35719.0</v>
      </c>
      <c r="O612" s="18">
        <v>35719.0</v>
      </c>
      <c r="P612" s="16">
        <v>7215.0</v>
      </c>
      <c r="Q612" s="16">
        <v>7200.0</v>
      </c>
      <c r="R612" s="16">
        <v>11.0</v>
      </c>
      <c r="S612" s="4"/>
      <c r="T612" s="4"/>
      <c r="U612" s="4"/>
      <c r="V612" s="4"/>
      <c r="W612" s="4"/>
      <c r="X612" s="4"/>
      <c r="Y612" s="4"/>
    </row>
    <row r="613">
      <c r="A613" s="16" t="s">
        <v>3973</v>
      </c>
      <c r="B613" s="16">
        <v>1319327.0</v>
      </c>
      <c r="C613" s="8" t="s">
        <v>20</v>
      </c>
      <c r="D613" s="8" t="s">
        <v>3974</v>
      </c>
      <c r="E613" s="16" t="s">
        <v>3975</v>
      </c>
      <c r="F613" s="16">
        <v>1319327.0</v>
      </c>
      <c r="G613" s="4"/>
      <c r="H613" s="17">
        <v>1.31932700017686E16</v>
      </c>
      <c r="I613" s="16" t="s">
        <v>3976</v>
      </c>
      <c r="J613" s="16" t="s">
        <v>3977</v>
      </c>
      <c r="K613" s="16" t="s">
        <v>3977</v>
      </c>
      <c r="L613" s="16" t="s">
        <v>3977</v>
      </c>
      <c r="M613" s="16">
        <v>2007.0</v>
      </c>
      <c r="N613" s="18">
        <v>39281.0</v>
      </c>
      <c r="O613" s="18">
        <v>39281.0</v>
      </c>
      <c r="P613" s="16">
        <v>6021.0</v>
      </c>
      <c r="Q613" s="16">
        <v>6020.0</v>
      </c>
      <c r="R613" s="16">
        <v>21.0</v>
      </c>
      <c r="S613" s="4"/>
      <c r="T613" s="4"/>
      <c r="U613" s="4"/>
      <c r="V613" s="4"/>
      <c r="W613" s="4"/>
      <c r="X613" s="4"/>
      <c r="Y613" s="4"/>
    </row>
    <row r="614">
      <c r="A614" s="16" t="s">
        <v>3978</v>
      </c>
      <c r="B614" s="16">
        <v>1033864.0</v>
      </c>
      <c r="C614" s="8" t="s">
        <v>762</v>
      </c>
      <c r="D614" s="8" t="s">
        <v>3979</v>
      </c>
      <c r="E614" s="16" t="s">
        <v>3980</v>
      </c>
      <c r="F614" s="16">
        <v>1033864.0</v>
      </c>
      <c r="G614" s="4"/>
      <c r="H614" s="16">
        <v>1033864.0</v>
      </c>
      <c r="I614" s="16">
        <v>255911.0</v>
      </c>
      <c r="J614" s="16" t="s">
        <v>3981</v>
      </c>
      <c r="K614" s="16" t="s">
        <v>3981</v>
      </c>
      <c r="L614" s="16" t="s">
        <v>3981</v>
      </c>
      <c r="M614" s="16">
        <v>1998.0</v>
      </c>
      <c r="N614" s="18">
        <v>35851.0</v>
      </c>
      <c r="O614" s="18">
        <v>35851.0</v>
      </c>
      <c r="P614" s="16">
        <v>7372.0</v>
      </c>
      <c r="Q614" s="16">
        <v>7372.0</v>
      </c>
      <c r="R614" s="16">
        <v>5.0</v>
      </c>
      <c r="S614" s="4"/>
      <c r="T614" s="4"/>
      <c r="U614" s="4"/>
      <c r="V614" s="4"/>
      <c r="W614" s="4"/>
      <c r="X614" s="4"/>
      <c r="Y614" s="4"/>
    </row>
    <row r="615">
      <c r="A615" s="16" t="s">
        <v>3982</v>
      </c>
      <c r="B615" s="16">
        <v>1034941.0</v>
      </c>
      <c r="C615" s="8" t="s">
        <v>20</v>
      </c>
      <c r="D615" s="8" t="s">
        <v>3983</v>
      </c>
      <c r="E615" s="16" t="s">
        <v>3984</v>
      </c>
      <c r="F615" s="16">
        <v>1034941.0</v>
      </c>
      <c r="G615" s="4"/>
      <c r="H615" s="16">
        <v>1034941.0</v>
      </c>
      <c r="I615" s="16">
        <v>924904.0</v>
      </c>
      <c r="J615" s="16" t="s">
        <v>3985</v>
      </c>
      <c r="K615" s="16" t="s">
        <v>3985</v>
      </c>
      <c r="L615" s="16" t="s">
        <v>3985</v>
      </c>
      <c r="M615" s="16">
        <v>1997.0</v>
      </c>
      <c r="N615" s="18">
        <v>35641.0</v>
      </c>
      <c r="O615" s="18">
        <v>35641.0</v>
      </c>
      <c r="P615" s="16">
        <v>7389.0</v>
      </c>
      <c r="Q615" s="16">
        <v>2750.0</v>
      </c>
      <c r="R615" s="16">
        <v>13.0</v>
      </c>
      <c r="S615" s="4"/>
      <c r="T615" s="4"/>
      <c r="U615" s="4"/>
      <c r="V615" s="4"/>
      <c r="W615" s="4"/>
      <c r="X615" s="4"/>
      <c r="Y615" s="4"/>
    </row>
    <row r="616">
      <c r="A616" s="16" t="s">
        <v>3986</v>
      </c>
      <c r="B616" s="16">
        <v>1507277.0</v>
      </c>
      <c r="C616" s="8" t="s">
        <v>20</v>
      </c>
      <c r="D616" s="8" t="s">
        <v>3987</v>
      </c>
      <c r="E616" s="16" t="s">
        <v>3988</v>
      </c>
      <c r="F616" s="16">
        <v>1507277.0</v>
      </c>
      <c r="G616" s="4"/>
      <c r="H616" s="16">
        <v>1507277.0</v>
      </c>
      <c r="I616" s="16" t="s">
        <v>3989</v>
      </c>
      <c r="J616" s="16" t="s">
        <v>3990</v>
      </c>
      <c r="K616" s="16" t="s">
        <v>3990</v>
      </c>
      <c r="L616" s="16" t="s">
        <v>3990</v>
      </c>
      <c r="M616" s="16">
        <v>2010.0</v>
      </c>
      <c r="N616" s="4"/>
      <c r="O616" s="4"/>
      <c r="P616" s="16">
        <v>6712.0</v>
      </c>
      <c r="Q616" s="16">
        <v>6020.0</v>
      </c>
      <c r="R616" s="16">
        <v>6.5</v>
      </c>
      <c r="S616" s="4"/>
      <c r="T616" s="4"/>
      <c r="U616" s="4"/>
      <c r="V616" s="4"/>
      <c r="W616" s="4"/>
      <c r="X616" s="4"/>
      <c r="Y616" s="4"/>
    </row>
    <row r="617">
      <c r="A617" s="16" t="s">
        <v>3991</v>
      </c>
      <c r="B617" s="16">
        <v>929528.0</v>
      </c>
      <c r="C617" s="8" t="s">
        <v>20</v>
      </c>
      <c r="D617" s="8" t="s">
        <v>3992</v>
      </c>
      <c r="E617" s="16" t="s">
        <v>3993</v>
      </c>
      <c r="F617" s="16">
        <v>929528.0</v>
      </c>
      <c r="G617" s="4"/>
      <c r="H617" s="16">
        <v>929528.0</v>
      </c>
      <c r="I617" s="16">
        <v>486590.0</v>
      </c>
      <c r="J617" s="16" t="s">
        <v>3994</v>
      </c>
      <c r="K617" s="16" t="s">
        <v>3995</v>
      </c>
      <c r="L617" s="16" t="s">
        <v>3994</v>
      </c>
      <c r="M617" s="16">
        <v>1996.0</v>
      </c>
      <c r="N617" s="18">
        <v>35117.0</v>
      </c>
      <c r="O617" s="18">
        <v>35117.0</v>
      </c>
      <c r="P617" s="16">
        <v>6799.0</v>
      </c>
      <c r="Q617" s="16">
        <v>8111.0</v>
      </c>
      <c r="R617" s="16">
        <v>5.0</v>
      </c>
      <c r="S617" s="4"/>
      <c r="T617" s="4"/>
      <c r="U617" s="4"/>
      <c r="V617" s="4"/>
      <c r="W617" s="4"/>
      <c r="X617" s="4"/>
      <c r="Y617" s="4"/>
    </row>
    <row r="618">
      <c r="A618" s="16" t="s">
        <v>3996</v>
      </c>
      <c r="B618" s="16">
        <v>1380509.0</v>
      </c>
      <c r="C618" s="8" t="s">
        <v>20</v>
      </c>
      <c r="D618" s="8" t="s">
        <v>3997</v>
      </c>
      <c r="E618" s="16" t="s">
        <v>3998</v>
      </c>
      <c r="F618" s="16">
        <v>1380509.0</v>
      </c>
      <c r="G618" s="4"/>
      <c r="H618" s="16">
        <v>1380509.0</v>
      </c>
      <c r="I618" s="16" t="s">
        <v>3999</v>
      </c>
      <c r="J618" s="16" t="s">
        <v>4000</v>
      </c>
      <c r="K618" s="16" t="s">
        <v>4001</v>
      </c>
      <c r="L618" s="16" t="s">
        <v>4000</v>
      </c>
      <c r="M618" s="16">
        <v>2007.0</v>
      </c>
      <c r="N618" s="18">
        <v>39113.0</v>
      </c>
      <c r="O618" s="18">
        <v>39113.0</v>
      </c>
      <c r="P618" s="16">
        <v>6519.0</v>
      </c>
      <c r="Q618" s="16">
        <v>6163.0</v>
      </c>
      <c r="R618" s="16">
        <v>18.0</v>
      </c>
      <c r="S618" s="4"/>
      <c r="T618" s="4"/>
      <c r="U618" s="4"/>
      <c r="V618" s="4"/>
      <c r="W618" s="4"/>
      <c r="X618" s="4"/>
      <c r="Y618" s="4"/>
    </row>
    <row r="619">
      <c r="A619" s="16" t="s">
        <v>4002</v>
      </c>
      <c r="B619" s="16">
        <v>889906.0</v>
      </c>
      <c r="C619" s="8" t="s">
        <v>20</v>
      </c>
      <c r="D619" s="8" t="s">
        <v>4003</v>
      </c>
      <c r="E619" s="16" t="s">
        <v>4004</v>
      </c>
      <c r="F619" s="16">
        <v>889906.0</v>
      </c>
      <c r="G619" s="4"/>
      <c r="H619" s="16">
        <v>889906.0</v>
      </c>
      <c r="I619" s="16">
        <v>140649.0</v>
      </c>
      <c r="J619" s="16" t="s">
        <v>4005</v>
      </c>
      <c r="K619" s="16" t="s">
        <v>4006</v>
      </c>
      <c r="L619" s="16" t="s">
        <v>4005</v>
      </c>
      <c r="M619" s="16">
        <v>1995.0</v>
      </c>
      <c r="N619" s="18">
        <v>35047.0</v>
      </c>
      <c r="O619" s="18">
        <v>35047.0</v>
      </c>
      <c r="P619" s="16">
        <v>6351.0</v>
      </c>
      <c r="Q619" s="16">
        <v>6351.0</v>
      </c>
      <c r="R619" s="16">
        <v>20.0</v>
      </c>
      <c r="S619" s="4"/>
      <c r="T619" s="4"/>
      <c r="U619" s="4"/>
      <c r="V619" s="4"/>
      <c r="W619" s="4"/>
      <c r="X619" s="4"/>
      <c r="Y619" s="4"/>
    </row>
    <row r="620">
      <c r="A620" s="16" t="s">
        <v>4007</v>
      </c>
      <c r="B620" s="16">
        <v>40729.0</v>
      </c>
      <c r="C620" s="8" t="s">
        <v>749</v>
      </c>
      <c r="D620" s="8" t="s">
        <v>4008</v>
      </c>
      <c r="E620" s="16" t="s">
        <v>4009</v>
      </c>
      <c r="F620" s="16">
        <v>40729.0</v>
      </c>
      <c r="G620" s="16">
        <v>40729.0</v>
      </c>
      <c r="H620" s="16">
        <v>40729.0</v>
      </c>
      <c r="I620" s="16" t="s">
        <v>4010</v>
      </c>
      <c r="J620" s="16" t="s">
        <v>4011</v>
      </c>
      <c r="K620" s="16" t="s">
        <v>4011</v>
      </c>
      <c r="L620" s="16" t="s">
        <v>4011</v>
      </c>
      <c r="M620" s="16">
        <v>2014.0</v>
      </c>
      <c r="N620" s="18">
        <v>41667.0</v>
      </c>
      <c r="O620" s="18">
        <v>41667.0</v>
      </c>
      <c r="P620" s="16">
        <v>6141.0</v>
      </c>
      <c r="Q620" s="16">
        <v>6172.0</v>
      </c>
      <c r="R620" s="16">
        <v>25.0</v>
      </c>
      <c r="S620" s="4"/>
      <c r="T620" s="4"/>
      <c r="U620" s="4"/>
      <c r="V620" s="4"/>
      <c r="W620" s="4"/>
      <c r="X620" s="4"/>
      <c r="Y620" s="4"/>
    </row>
    <row r="621">
      <c r="A621" s="16" t="s">
        <v>4012</v>
      </c>
      <c r="B621" s="16">
        <v>1322554.0</v>
      </c>
      <c r="C621" s="8" t="s">
        <v>762</v>
      </c>
      <c r="D621" s="8" t="s">
        <v>4013</v>
      </c>
      <c r="E621" s="16" t="s">
        <v>4014</v>
      </c>
      <c r="F621" s="16">
        <v>1322554.0</v>
      </c>
      <c r="G621" s="4"/>
      <c r="H621" s="16">
        <v>1322554.0</v>
      </c>
      <c r="I621" s="16" t="s">
        <v>4015</v>
      </c>
      <c r="J621" s="16" t="s">
        <v>4016</v>
      </c>
      <c r="K621" s="16" t="s">
        <v>4016</v>
      </c>
      <c r="L621" s="16" t="s">
        <v>4016</v>
      </c>
      <c r="M621" s="16">
        <v>2015.0</v>
      </c>
      <c r="N621" s="18">
        <v>42181.0</v>
      </c>
      <c r="O621" s="18">
        <v>42181.0</v>
      </c>
      <c r="P621" s="16">
        <v>7372.0</v>
      </c>
      <c r="Q621" s="16">
        <v>7370.0</v>
      </c>
      <c r="R621" s="16">
        <v>8.0</v>
      </c>
      <c r="S621" s="4"/>
      <c r="T621" s="4"/>
      <c r="U621" s="4"/>
      <c r="V621" s="4"/>
      <c r="W621" s="4"/>
      <c r="X621" s="4"/>
      <c r="Y621" s="4"/>
    </row>
    <row r="622">
      <c r="A622" s="16" t="s">
        <v>4017</v>
      </c>
      <c r="B622" s="16">
        <v>1000787.0</v>
      </c>
      <c r="C622" s="8" t="s">
        <v>20</v>
      </c>
      <c r="D622" s="8" t="s">
        <v>4018</v>
      </c>
      <c r="E622" s="4"/>
      <c r="F622" s="4"/>
      <c r="G622" s="4"/>
      <c r="H622" s="16">
        <v>1000787.0</v>
      </c>
      <c r="I622" s="16">
        <v>37935.0</v>
      </c>
      <c r="J622" s="16" t="s">
        <v>4019</v>
      </c>
      <c r="K622" s="4"/>
      <c r="L622" s="16" t="s">
        <v>4019</v>
      </c>
      <c r="M622" s="16">
        <v>1995.0</v>
      </c>
      <c r="N622" s="4"/>
      <c r="O622" s="4"/>
      <c r="P622" s="16">
        <v>7379.0</v>
      </c>
      <c r="Q622" s="4"/>
      <c r="R622" s="16">
        <v>10.0</v>
      </c>
      <c r="S622" s="4"/>
      <c r="T622" s="4"/>
      <c r="U622" s="4"/>
      <c r="V622" s="4"/>
      <c r="W622" s="4"/>
      <c r="X622" s="4"/>
      <c r="Y622" s="4"/>
    </row>
    <row r="623">
      <c r="A623" s="16" t="s">
        <v>4020</v>
      </c>
      <c r="B623" s="16">
        <v>949589.0</v>
      </c>
      <c r="C623" s="8" t="s">
        <v>20</v>
      </c>
      <c r="D623" s="8" t="s">
        <v>4021</v>
      </c>
      <c r="E623" s="16" t="s">
        <v>4022</v>
      </c>
      <c r="F623" s="16">
        <v>949589.0</v>
      </c>
      <c r="G623" s="4"/>
      <c r="H623" s="16">
        <v>949589.0</v>
      </c>
      <c r="I623" s="16">
        <v>461915.0</v>
      </c>
      <c r="J623" s="16" t="s">
        <v>4023</v>
      </c>
      <c r="K623" s="16" t="s">
        <v>4024</v>
      </c>
      <c r="L623" s="16" t="s">
        <v>4025</v>
      </c>
      <c r="M623" s="16">
        <v>1995.0</v>
      </c>
      <c r="N623" s="18">
        <v>35011.0</v>
      </c>
      <c r="O623" s="18">
        <v>35011.0</v>
      </c>
      <c r="P623" s="16">
        <v>6282.0</v>
      </c>
      <c r="Q623" s="16">
        <v>6020.0</v>
      </c>
      <c r="R623" s="16">
        <v>16.5</v>
      </c>
      <c r="S623" s="4"/>
      <c r="T623" s="4"/>
      <c r="U623" s="4"/>
      <c r="V623" s="4"/>
      <c r="W623" s="4"/>
      <c r="X623" s="4"/>
      <c r="Y623" s="4"/>
    </row>
    <row r="624">
      <c r="A624" s="16" t="s">
        <v>4026</v>
      </c>
      <c r="B624" s="16">
        <v>1014462.0</v>
      </c>
      <c r="C624" s="8" t="s">
        <v>762</v>
      </c>
      <c r="D624" s="8" t="s">
        <v>4027</v>
      </c>
      <c r="E624" s="16" t="s">
        <v>4028</v>
      </c>
      <c r="F624" s="16">
        <v>1014462.0</v>
      </c>
      <c r="G624" s="4"/>
      <c r="H624" s="16">
        <v>1014462.0</v>
      </c>
      <c r="I624" s="16">
        <v>884094.0</v>
      </c>
      <c r="J624" s="16" t="s">
        <v>4029</v>
      </c>
      <c r="K624" s="16" t="s">
        <v>4030</v>
      </c>
      <c r="L624" s="16" t="s">
        <v>4029</v>
      </c>
      <c r="M624" s="16">
        <v>1996.0</v>
      </c>
      <c r="N624" s="18">
        <v>35395.0</v>
      </c>
      <c r="O624" s="18">
        <v>35395.0</v>
      </c>
      <c r="P624" s="16">
        <v>7389.0</v>
      </c>
      <c r="Q624" s="16">
        <v>7370.0</v>
      </c>
      <c r="R624" s="16">
        <v>7.0</v>
      </c>
      <c r="S624" s="4"/>
      <c r="T624" s="4"/>
      <c r="U624" s="4"/>
      <c r="V624" s="4"/>
      <c r="W624" s="4"/>
      <c r="X624" s="4"/>
      <c r="Y624" s="4"/>
    </row>
    <row r="625">
      <c r="A625" s="16" t="s">
        <v>4031</v>
      </c>
      <c r="B625" s="16">
        <v>1468748.0</v>
      </c>
      <c r="C625" s="8" t="s">
        <v>20</v>
      </c>
      <c r="D625" s="8" t="s">
        <v>4032</v>
      </c>
      <c r="E625" s="16" t="s">
        <v>4033</v>
      </c>
      <c r="F625" s="16">
        <v>1468748.0</v>
      </c>
      <c r="G625" s="16">
        <v>1468748.0</v>
      </c>
      <c r="H625" s="16">
        <v>1468748.0</v>
      </c>
      <c r="I625" s="16" t="s">
        <v>4034</v>
      </c>
      <c r="J625" s="16" t="s">
        <v>4035</v>
      </c>
      <c r="K625" s="16" t="s">
        <v>4035</v>
      </c>
      <c r="L625" s="16" t="s">
        <v>4035</v>
      </c>
      <c r="M625" s="16">
        <v>2018.0</v>
      </c>
      <c r="N625" s="18">
        <v>43377.0</v>
      </c>
      <c r="O625" s="18">
        <v>43377.0</v>
      </c>
      <c r="P625" s="16">
        <v>8731.0</v>
      </c>
      <c r="Q625" s="16">
        <v>2836.0</v>
      </c>
      <c r="R625" s="16">
        <v>10.0</v>
      </c>
      <c r="S625" s="4"/>
      <c r="T625" s="4"/>
      <c r="U625" s="4"/>
      <c r="V625" s="4"/>
      <c r="W625" s="4"/>
      <c r="X625" s="4"/>
      <c r="Y625" s="4"/>
    </row>
    <row r="626">
      <c r="A626" s="16" t="s">
        <v>4036</v>
      </c>
      <c r="B626" s="16">
        <v>1023300.0</v>
      </c>
      <c r="C626" s="8" t="s">
        <v>20</v>
      </c>
      <c r="D626" s="8" t="s">
        <v>4037</v>
      </c>
      <c r="E626" s="16" t="s">
        <v>4038</v>
      </c>
      <c r="F626" s="16">
        <v>1023300.0</v>
      </c>
      <c r="G626" s="4"/>
      <c r="H626" s="17">
        <v>1.02330000010582E16</v>
      </c>
      <c r="I626" s="16" t="s">
        <v>4039</v>
      </c>
      <c r="J626" s="16" t="s">
        <v>4040</v>
      </c>
      <c r="K626" s="16" t="s">
        <v>4041</v>
      </c>
      <c r="L626" s="16" t="s">
        <v>4040</v>
      </c>
      <c r="M626" s="16">
        <v>1996.0</v>
      </c>
      <c r="N626" s="18">
        <v>35390.0</v>
      </c>
      <c r="O626" s="18">
        <v>35390.0</v>
      </c>
      <c r="P626" s="16">
        <v>6159.0</v>
      </c>
      <c r="Q626" s="16">
        <v>6159.0</v>
      </c>
      <c r="R626" s="16">
        <v>12.5</v>
      </c>
      <c r="S626" s="4"/>
      <c r="T626" s="4"/>
      <c r="U626" s="4"/>
      <c r="V626" s="4"/>
      <c r="W626" s="4"/>
      <c r="X626" s="4"/>
      <c r="Y626" s="4"/>
    </row>
    <row r="627">
      <c r="A627" s="16" t="s">
        <v>4042</v>
      </c>
      <c r="B627" s="16">
        <v>1091440.0</v>
      </c>
      <c r="C627" s="8" t="s">
        <v>20</v>
      </c>
      <c r="D627" s="8" t="s">
        <v>4043</v>
      </c>
      <c r="E627" s="16" t="s">
        <v>4044</v>
      </c>
      <c r="F627" s="16">
        <v>1091440.0</v>
      </c>
      <c r="G627" s="4"/>
      <c r="H627" s="16">
        <v>1091440.0</v>
      </c>
      <c r="I627" s="16" t="s">
        <v>4045</v>
      </c>
      <c r="J627" s="16" t="s">
        <v>4046</v>
      </c>
      <c r="K627" s="16" t="s">
        <v>4046</v>
      </c>
      <c r="L627" s="16" t="s">
        <v>4046</v>
      </c>
      <c r="M627" s="16">
        <v>1999.0</v>
      </c>
      <c r="N627" s="18">
        <v>36476.0</v>
      </c>
      <c r="O627" s="18">
        <v>36476.0</v>
      </c>
      <c r="P627" s="16">
        <v>7311.0</v>
      </c>
      <c r="Q627" s="16">
        <v>7331.0</v>
      </c>
      <c r="R627" s="16">
        <v>13.0</v>
      </c>
      <c r="S627" s="4"/>
      <c r="T627" s="4"/>
      <c r="U627" s="4"/>
      <c r="V627" s="4"/>
      <c r="W627" s="4"/>
      <c r="X627" s="4"/>
      <c r="Y627" s="4"/>
    </row>
    <row r="628">
      <c r="A628" s="16" t="s">
        <v>4047</v>
      </c>
      <c r="B628" s="16">
        <v>1677077.0</v>
      </c>
      <c r="C628" s="8" t="s">
        <v>20</v>
      </c>
      <c r="D628" s="8" t="s">
        <v>4048</v>
      </c>
      <c r="E628" s="4"/>
      <c r="F628" s="4"/>
      <c r="G628" s="16">
        <v>1677077.0</v>
      </c>
      <c r="H628" s="16">
        <v>1677077.0</v>
      </c>
      <c r="I628" s="16" t="s">
        <v>4049</v>
      </c>
      <c r="J628" s="16" t="s">
        <v>4050</v>
      </c>
      <c r="K628" s="4"/>
      <c r="L628" s="16" t="s">
        <v>4050</v>
      </c>
      <c r="M628" s="16">
        <v>2021.0</v>
      </c>
      <c r="N628" s="4"/>
      <c r="O628" s="4"/>
      <c r="P628" s="16">
        <v>8731.0</v>
      </c>
      <c r="Q628" s="4"/>
      <c r="R628" s="16">
        <v>5.0</v>
      </c>
      <c r="S628" s="4"/>
      <c r="T628" s="4"/>
      <c r="U628" s="4"/>
      <c r="V628" s="4"/>
      <c r="W628" s="4"/>
      <c r="X628" s="4"/>
      <c r="Y628" s="4"/>
    </row>
    <row r="629">
      <c r="A629" s="16" t="s">
        <v>4051</v>
      </c>
      <c r="B629" s="16">
        <v>1013857.0</v>
      </c>
      <c r="C629" s="8" t="s">
        <v>762</v>
      </c>
      <c r="D629" s="8" t="s">
        <v>4052</v>
      </c>
      <c r="E629" s="16" t="s">
        <v>4053</v>
      </c>
      <c r="F629" s="16">
        <v>1013857.0</v>
      </c>
      <c r="G629" s="16">
        <v>1013857.0</v>
      </c>
      <c r="H629" s="16">
        <v>1013857.0</v>
      </c>
      <c r="I629" s="16">
        <v>705573.0</v>
      </c>
      <c r="J629" s="16" t="s">
        <v>4054</v>
      </c>
      <c r="K629" s="16" t="s">
        <v>4054</v>
      </c>
      <c r="L629" s="16" t="s">
        <v>4054</v>
      </c>
      <c r="M629" s="16">
        <v>1996.0</v>
      </c>
      <c r="N629" s="18">
        <v>35264.0</v>
      </c>
      <c r="O629" s="18">
        <v>35264.0</v>
      </c>
      <c r="P629" s="16">
        <v>7372.0</v>
      </c>
      <c r="Q629" s="16">
        <v>7372.0</v>
      </c>
      <c r="R629" s="16">
        <v>12.0</v>
      </c>
      <c r="S629" s="4"/>
      <c r="T629" s="4"/>
      <c r="U629" s="4"/>
      <c r="V629" s="4"/>
      <c r="W629" s="4"/>
      <c r="X629" s="4"/>
      <c r="Y629" s="4"/>
    </row>
    <row r="630">
      <c r="A630" s="16" t="s">
        <v>4055</v>
      </c>
      <c r="B630" s="16">
        <v>1118417.0</v>
      </c>
      <c r="C630" s="8" t="s">
        <v>20</v>
      </c>
      <c r="D630" s="8" t="s">
        <v>4056</v>
      </c>
      <c r="E630" s="16" t="s">
        <v>4057</v>
      </c>
      <c r="F630" s="16">
        <v>1118417.0</v>
      </c>
      <c r="G630" s="4"/>
      <c r="H630" s="17">
        <v>1.11841700011184E16</v>
      </c>
      <c r="I630" s="16">
        <v>607525.0</v>
      </c>
      <c r="J630" s="16" t="s">
        <v>4058</v>
      </c>
      <c r="K630" s="16" t="s">
        <v>4058</v>
      </c>
      <c r="L630" s="16" t="s">
        <v>4058</v>
      </c>
      <c r="M630" s="16">
        <v>2013.0</v>
      </c>
      <c r="N630" s="18">
        <v>41353.0</v>
      </c>
      <c r="O630" s="18">
        <v>41353.0</v>
      </c>
      <c r="P630" s="16">
        <v>7372.0</v>
      </c>
      <c r="Q630" s="16">
        <v>7370.0</v>
      </c>
      <c r="R630" s="16">
        <v>15.5</v>
      </c>
      <c r="S630" s="4"/>
      <c r="T630" s="4"/>
      <c r="U630" s="4"/>
      <c r="V630" s="4"/>
      <c r="W630" s="4"/>
      <c r="X630" s="4"/>
      <c r="Y630" s="4"/>
    </row>
    <row r="631">
      <c r="A631" s="16" t="s">
        <v>4059</v>
      </c>
      <c r="B631" s="16">
        <v>1121439.0</v>
      </c>
      <c r="C631" s="8" t="s">
        <v>20</v>
      </c>
      <c r="D631" s="8" t="s">
        <v>4060</v>
      </c>
      <c r="E631" s="16" t="s">
        <v>4061</v>
      </c>
      <c r="F631" s="16">
        <v>1121439.0</v>
      </c>
      <c r="G631" s="4"/>
      <c r="H631" s="16">
        <v>1121439.0</v>
      </c>
      <c r="I631" s="16" t="s">
        <v>4062</v>
      </c>
      <c r="J631" s="16" t="s">
        <v>4063</v>
      </c>
      <c r="K631" s="16" t="s">
        <v>4064</v>
      </c>
      <c r="L631" s="16" t="s">
        <v>4063</v>
      </c>
      <c r="M631" s="16">
        <v>2005.0</v>
      </c>
      <c r="N631" s="18">
        <v>38392.0</v>
      </c>
      <c r="O631" s="18">
        <v>38392.0</v>
      </c>
      <c r="P631" s="16">
        <v>7376.0</v>
      </c>
      <c r="Q631" s="16">
        <v>7372.0</v>
      </c>
      <c r="R631" s="16">
        <v>13.0</v>
      </c>
      <c r="S631" s="4"/>
      <c r="T631" s="4"/>
      <c r="U631" s="4"/>
      <c r="V631" s="4"/>
      <c r="W631" s="4"/>
      <c r="X631" s="4"/>
      <c r="Y631" s="4"/>
    </row>
    <row r="632">
      <c r="A632" s="16" t="s">
        <v>4065</v>
      </c>
      <c r="B632" s="16">
        <v>1052054.0</v>
      </c>
      <c r="C632" s="8" t="s">
        <v>762</v>
      </c>
      <c r="D632" s="8" t="s">
        <v>4066</v>
      </c>
      <c r="E632" s="16" t="s">
        <v>4067</v>
      </c>
      <c r="F632" s="16">
        <v>1052054.0</v>
      </c>
      <c r="G632" s="4"/>
      <c r="H632" s="16">
        <v>1052054.0</v>
      </c>
      <c r="I632" s="16" t="s">
        <v>4068</v>
      </c>
      <c r="J632" s="16" t="s">
        <v>4069</v>
      </c>
      <c r="K632" s="16" t="s">
        <v>4069</v>
      </c>
      <c r="L632" s="16" t="s">
        <v>4069</v>
      </c>
      <c r="M632" s="16">
        <v>1998.0</v>
      </c>
      <c r="N632" s="18">
        <v>35927.0</v>
      </c>
      <c r="O632" s="18">
        <v>35927.0</v>
      </c>
      <c r="P632" s="16">
        <v>7372.0</v>
      </c>
      <c r="Q632" s="16">
        <v>7371.0</v>
      </c>
      <c r="R632" s="16">
        <v>14.0</v>
      </c>
      <c r="S632" s="4"/>
      <c r="T632" s="4"/>
      <c r="U632" s="4"/>
      <c r="V632" s="4"/>
      <c r="W632" s="4"/>
      <c r="X632" s="4"/>
      <c r="Y632" s="4"/>
    </row>
    <row r="633">
      <c r="A633" s="16" t="s">
        <v>4070</v>
      </c>
      <c r="B633" s="16">
        <v>1386278.0</v>
      </c>
      <c r="C633" s="8" t="s">
        <v>749</v>
      </c>
      <c r="D633" s="8" t="s">
        <v>4071</v>
      </c>
      <c r="E633" s="16" t="s">
        <v>4072</v>
      </c>
      <c r="F633" s="16">
        <v>1386278.0</v>
      </c>
      <c r="G633" s="16">
        <v>1386278.0</v>
      </c>
      <c r="H633" s="16">
        <v>1386278.0</v>
      </c>
      <c r="I633" s="16" t="s">
        <v>4073</v>
      </c>
      <c r="J633" s="16" t="s">
        <v>4074</v>
      </c>
      <c r="K633" s="16" t="s">
        <v>4074</v>
      </c>
      <c r="L633" s="16" t="s">
        <v>4074</v>
      </c>
      <c r="M633" s="16">
        <v>2010.0</v>
      </c>
      <c r="N633" s="18">
        <v>40381.0</v>
      </c>
      <c r="O633" s="18">
        <v>40381.0</v>
      </c>
      <c r="P633" s="16">
        <v>6141.0</v>
      </c>
      <c r="Q633" s="16">
        <v>7389.0</v>
      </c>
      <c r="R633" s="16">
        <v>36.0</v>
      </c>
      <c r="S633" s="4"/>
      <c r="T633" s="4"/>
      <c r="U633" s="4"/>
      <c r="V633" s="4"/>
      <c r="W633" s="4"/>
      <c r="X633" s="4"/>
      <c r="Y633" s="4"/>
    </row>
    <row r="634">
      <c r="A634" s="16" t="s">
        <v>4075</v>
      </c>
      <c r="B634" s="16">
        <v>1373715.0</v>
      </c>
      <c r="C634" s="8" t="s">
        <v>762</v>
      </c>
      <c r="D634" s="8" t="s">
        <v>4076</v>
      </c>
      <c r="E634" s="16" t="s">
        <v>4077</v>
      </c>
      <c r="F634" s="16">
        <v>1373715.0</v>
      </c>
      <c r="G634" s="16">
        <v>1373715.0</v>
      </c>
      <c r="H634" s="16">
        <v>1373715.0</v>
      </c>
      <c r="I634" s="16" t="s">
        <v>4078</v>
      </c>
      <c r="J634" s="16" t="s">
        <v>4079</v>
      </c>
      <c r="K634" s="16" t="s">
        <v>4079</v>
      </c>
      <c r="L634" s="4"/>
      <c r="M634" s="16">
        <v>2012.0</v>
      </c>
      <c r="N634" s="18">
        <v>41089.0</v>
      </c>
      <c r="O634" s="18">
        <v>41089.0</v>
      </c>
      <c r="P634" s="16">
        <v>7372.0</v>
      </c>
      <c r="Q634" s="16">
        <v>7372.0</v>
      </c>
      <c r="R634" s="16">
        <v>18.0</v>
      </c>
      <c r="S634" s="4"/>
      <c r="T634" s="4"/>
      <c r="U634" s="4"/>
      <c r="V634" s="4"/>
      <c r="W634" s="4"/>
      <c r="X634" s="4"/>
      <c r="Y634" s="4"/>
    </row>
    <row r="635">
      <c r="A635" s="16" t="s">
        <v>4080</v>
      </c>
      <c r="B635" s="16">
        <v>1084145.0</v>
      </c>
      <c r="C635" s="8" t="s">
        <v>20</v>
      </c>
      <c r="D635" s="8" t="s">
        <v>4081</v>
      </c>
      <c r="E635" s="16" t="s">
        <v>4082</v>
      </c>
      <c r="F635" s="16">
        <v>1084145.0</v>
      </c>
      <c r="G635" s="16">
        <v>733269.0</v>
      </c>
      <c r="H635" s="16">
        <v>1084145.0</v>
      </c>
      <c r="I635" s="16">
        <v>751567.0</v>
      </c>
      <c r="J635" s="16" t="s">
        <v>4083</v>
      </c>
      <c r="K635" s="16" t="s">
        <v>4084</v>
      </c>
      <c r="L635" s="16" t="s">
        <v>4083</v>
      </c>
      <c r="M635" s="16">
        <v>1999.0</v>
      </c>
      <c r="N635" s="18">
        <v>36333.0</v>
      </c>
      <c r="O635" s="18">
        <v>36333.0</v>
      </c>
      <c r="P635" s="16">
        <v>7373.0</v>
      </c>
      <c r="Q635" s="16">
        <v>7373.0</v>
      </c>
      <c r="R635" s="16">
        <v>11.0</v>
      </c>
      <c r="S635" s="4"/>
      <c r="T635" s="4"/>
      <c r="U635" s="4"/>
      <c r="V635" s="4"/>
      <c r="W635" s="4"/>
      <c r="X635" s="4"/>
      <c r="Y635" s="4"/>
    </row>
    <row r="636">
      <c r="A636" s="16" t="s">
        <v>4085</v>
      </c>
      <c r="B636" s="16">
        <v>1042134.0</v>
      </c>
      <c r="C636" s="8" t="s">
        <v>762</v>
      </c>
      <c r="D636" s="8" t="s">
        <v>4086</v>
      </c>
      <c r="E636" s="16" t="s">
        <v>4087</v>
      </c>
      <c r="F636" s="16">
        <v>1042134.0</v>
      </c>
      <c r="G636" s="16">
        <v>1486159.0</v>
      </c>
      <c r="H636" s="16">
        <v>1042134.0</v>
      </c>
      <c r="I636" s="16">
        <v>170404.0</v>
      </c>
      <c r="J636" s="16" t="s">
        <v>4088</v>
      </c>
      <c r="K636" s="16" t="s">
        <v>4089</v>
      </c>
      <c r="L636" s="16" t="s">
        <v>4088</v>
      </c>
      <c r="M636" s="16">
        <v>2000.0</v>
      </c>
      <c r="N636" s="18">
        <v>36571.0</v>
      </c>
      <c r="O636" s="18">
        <v>36571.0</v>
      </c>
      <c r="P636" s="16">
        <v>7372.0</v>
      </c>
      <c r="Q636" s="16">
        <v>7372.0</v>
      </c>
      <c r="R636" s="16">
        <v>18.0</v>
      </c>
      <c r="S636" s="4"/>
      <c r="T636" s="4"/>
      <c r="U636" s="4"/>
      <c r="V636" s="4"/>
      <c r="W636" s="4"/>
      <c r="X636" s="4"/>
      <c r="Y636" s="4"/>
    </row>
    <row r="637">
      <c r="A637" s="16" t="s">
        <v>4090</v>
      </c>
      <c r="B637" s="16">
        <v>1496323.0</v>
      </c>
      <c r="C637" s="8" t="s">
        <v>20</v>
      </c>
      <c r="D637" s="8" t="s">
        <v>4091</v>
      </c>
      <c r="E637" s="16" t="s">
        <v>4092</v>
      </c>
      <c r="F637" s="16">
        <v>1496323.0</v>
      </c>
      <c r="G637" s="16">
        <v>1496323.0</v>
      </c>
      <c r="H637" s="16">
        <v>1496323.0</v>
      </c>
      <c r="I637" s="16">
        <v>449585.0</v>
      </c>
      <c r="J637" s="16" t="s">
        <v>4093</v>
      </c>
      <c r="K637" s="16" t="s">
        <v>4093</v>
      </c>
      <c r="L637" s="16" t="s">
        <v>4093</v>
      </c>
      <c r="M637" s="16">
        <v>2019.0</v>
      </c>
      <c r="N637" s="18">
        <v>43726.0</v>
      </c>
      <c r="O637" s="18">
        <v>43726.0</v>
      </c>
      <c r="P637" s="16">
        <v>8731.0</v>
      </c>
      <c r="Q637" s="16">
        <v>2836.0</v>
      </c>
      <c r="R637" s="16">
        <v>16.0</v>
      </c>
      <c r="S637" s="4"/>
      <c r="T637" s="4"/>
      <c r="U637" s="4"/>
      <c r="V637" s="4"/>
      <c r="W637" s="4"/>
      <c r="X637" s="4"/>
      <c r="Y637" s="4"/>
    </row>
    <row r="638">
      <c r="A638" s="16" t="s">
        <v>4094</v>
      </c>
      <c r="B638" s="16">
        <v>1759425.0</v>
      </c>
      <c r="C638" s="8" t="s">
        <v>20</v>
      </c>
      <c r="D638" s="8" t="s">
        <v>4095</v>
      </c>
      <c r="E638" s="16" t="s">
        <v>4096</v>
      </c>
      <c r="F638" s="16">
        <v>1759425.0</v>
      </c>
      <c r="G638" s="16">
        <v>1759425.0</v>
      </c>
      <c r="H638" s="16">
        <v>1759425.0</v>
      </c>
      <c r="I638" s="16">
        <v>604749.0</v>
      </c>
      <c r="J638" s="16" t="s">
        <v>4097</v>
      </c>
      <c r="K638" s="16" t="s">
        <v>4097</v>
      </c>
      <c r="L638" s="16" t="s">
        <v>4097</v>
      </c>
      <c r="M638" s="16">
        <v>2019.0</v>
      </c>
      <c r="N638" s="18">
        <v>43664.0</v>
      </c>
      <c r="O638" s="18">
        <v>43664.0</v>
      </c>
      <c r="P638" s="16">
        <v>8731.0</v>
      </c>
      <c r="Q638" s="16">
        <v>2836.0</v>
      </c>
      <c r="R638" s="16">
        <v>15.0</v>
      </c>
      <c r="S638" s="4"/>
      <c r="T638" s="4"/>
      <c r="U638" s="4"/>
      <c r="V638" s="4"/>
      <c r="W638" s="4"/>
      <c r="X638" s="4"/>
      <c r="Y638" s="4"/>
    </row>
    <row r="639">
      <c r="A639" s="16" t="s">
        <v>4098</v>
      </c>
      <c r="B639" s="16">
        <v>1035104.0</v>
      </c>
      <c r="C639" s="8" t="s">
        <v>20</v>
      </c>
      <c r="D639" s="8" t="s">
        <v>4099</v>
      </c>
      <c r="E639" s="16" t="s">
        <v>4100</v>
      </c>
      <c r="F639" s="16">
        <v>1035104.0</v>
      </c>
      <c r="G639" s="4"/>
      <c r="H639" s="16">
        <v>1035104.0</v>
      </c>
      <c r="I639" s="16" t="s">
        <v>4101</v>
      </c>
      <c r="J639" s="16" t="s">
        <v>4102</v>
      </c>
      <c r="K639" s="16" t="s">
        <v>4102</v>
      </c>
      <c r="L639" s="16" t="s">
        <v>4102</v>
      </c>
      <c r="M639" s="16">
        <v>1997.0</v>
      </c>
      <c r="N639" s="18">
        <v>35608.0</v>
      </c>
      <c r="O639" s="18">
        <v>35608.0</v>
      </c>
      <c r="P639" s="16">
        <v>7373.0</v>
      </c>
      <c r="Q639" s="16">
        <v>4899.0</v>
      </c>
      <c r="R639" s="16">
        <v>7.5</v>
      </c>
      <c r="S639" s="4"/>
      <c r="T639" s="4"/>
      <c r="U639" s="4"/>
      <c r="V639" s="4"/>
      <c r="W639" s="4"/>
      <c r="X639" s="4"/>
      <c r="Y639" s="4"/>
    </row>
    <row r="640">
      <c r="A640" s="16" t="s">
        <v>4103</v>
      </c>
      <c r="B640" s="16">
        <v>1710583.0</v>
      </c>
      <c r="C640" s="8" t="s">
        <v>762</v>
      </c>
      <c r="D640" s="8" t="s">
        <v>4104</v>
      </c>
      <c r="E640" s="16" t="s">
        <v>4105</v>
      </c>
      <c r="F640" s="16">
        <v>1710583.0</v>
      </c>
      <c r="G640" s="4"/>
      <c r="H640" s="16">
        <v>1710583.0</v>
      </c>
      <c r="I640" s="16" t="s">
        <v>4106</v>
      </c>
      <c r="J640" s="16" t="s">
        <v>4107</v>
      </c>
      <c r="K640" s="16" t="s">
        <v>4107</v>
      </c>
      <c r="L640" s="16" t="s">
        <v>4107</v>
      </c>
      <c r="M640" s="16">
        <v>2017.0</v>
      </c>
      <c r="N640" s="18">
        <v>43014.0</v>
      </c>
      <c r="O640" s="18">
        <v>43014.0</v>
      </c>
      <c r="P640" s="16">
        <v>7371.0</v>
      </c>
      <c r="Q640" s="16">
        <v>7370.0</v>
      </c>
      <c r="R640" s="16">
        <v>17.0</v>
      </c>
      <c r="S640" s="4"/>
      <c r="T640" s="4"/>
      <c r="U640" s="4"/>
      <c r="V640" s="4"/>
      <c r="W640" s="4"/>
      <c r="X640" s="4"/>
      <c r="Y640" s="4"/>
    </row>
    <row r="641">
      <c r="A641" s="16" t="s">
        <v>4108</v>
      </c>
      <c r="B641" s="16">
        <v>1326583.0</v>
      </c>
      <c r="C641" s="8" t="s">
        <v>20</v>
      </c>
      <c r="D641" s="8" t="s">
        <v>4109</v>
      </c>
      <c r="E641" s="16" t="s">
        <v>4110</v>
      </c>
      <c r="F641" s="16">
        <v>1326583.0</v>
      </c>
      <c r="G641" s="4"/>
      <c r="H641" s="16">
        <v>1326583.0</v>
      </c>
      <c r="I641" s="16" t="s">
        <v>4111</v>
      </c>
      <c r="J641" s="16" t="s">
        <v>4112</v>
      </c>
      <c r="K641" s="16" t="s">
        <v>4112</v>
      </c>
      <c r="L641" s="16" t="s">
        <v>4112</v>
      </c>
      <c r="M641" s="16">
        <v>2005.0</v>
      </c>
      <c r="N641" s="18">
        <v>36202.0</v>
      </c>
      <c r="O641" s="18">
        <v>36202.0</v>
      </c>
      <c r="P641" s="16">
        <v>7375.0</v>
      </c>
      <c r="Q641" s="16">
        <v>7370.0</v>
      </c>
      <c r="R641" s="16">
        <v>17.5</v>
      </c>
      <c r="S641" s="4"/>
      <c r="T641" s="4"/>
      <c r="U641" s="4"/>
      <c r="V641" s="4"/>
      <c r="W641" s="4"/>
      <c r="X641" s="4"/>
      <c r="Y641" s="4"/>
    </row>
    <row r="642">
      <c r="A642" s="16" t="s">
        <v>4113</v>
      </c>
      <c r="B642" s="16">
        <v>1289848.0</v>
      </c>
      <c r="C642" s="8" t="s">
        <v>762</v>
      </c>
      <c r="D642" s="8" t="s">
        <v>4114</v>
      </c>
      <c r="E642" s="16" t="s">
        <v>4115</v>
      </c>
      <c r="F642" s="16">
        <v>1289848.0</v>
      </c>
      <c r="G642" s="16">
        <v>1289848.0</v>
      </c>
      <c r="H642" s="16">
        <v>1289848.0</v>
      </c>
      <c r="I642" s="16">
        <v>447462.0</v>
      </c>
      <c r="J642" s="16" t="s">
        <v>4116</v>
      </c>
      <c r="K642" s="16" t="s">
        <v>4116</v>
      </c>
      <c r="L642" s="16" t="s">
        <v>4116</v>
      </c>
      <c r="M642" s="16">
        <v>2004.0</v>
      </c>
      <c r="N642" s="18">
        <v>38273.0</v>
      </c>
      <c r="O642" s="18">
        <v>38273.0</v>
      </c>
      <c r="P642" s="16">
        <v>8742.0</v>
      </c>
      <c r="Q642" s="16">
        <v>8742.0</v>
      </c>
      <c r="R642" s="16">
        <v>15.5</v>
      </c>
      <c r="S642" s="4"/>
      <c r="T642" s="4"/>
      <c r="U642" s="4"/>
      <c r="V642" s="4"/>
      <c r="W642" s="4"/>
      <c r="X642" s="4"/>
      <c r="Y642" s="4"/>
    </row>
    <row r="643">
      <c r="A643" s="16" t="s">
        <v>4117</v>
      </c>
      <c r="B643" s="16">
        <v>1078577.0</v>
      </c>
      <c r="C643" s="8" t="s">
        <v>20</v>
      </c>
      <c r="D643" s="8" t="s">
        <v>4118</v>
      </c>
      <c r="E643" s="16" t="s">
        <v>4119</v>
      </c>
      <c r="F643" s="16">
        <v>1078577.0</v>
      </c>
      <c r="G643" s="4"/>
      <c r="H643" s="16">
        <v>1078577.0</v>
      </c>
      <c r="I643" s="16" t="s">
        <v>4120</v>
      </c>
      <c r="J643" s="16" t="s">
        <v>4121</v>
      </c>
      <c r="K643" s="16" t="s">
        <v>4122</v>
      </c>
      <c r="L643" s="16" t="s">
        <v>4121</v>
      </c>
      <c r="M643" s="16">
        <v>1999.0</v>
      </c>
      <c r="N643" s="18">
        <v>36280.0</v>
      </c>
      <c r="O643" s="18">
        <v>36280.0</v>
      </c>
      <c r="P643" s="16">
        <v>7375.0</v>
      </c>
      <c r="Q643" s="16">
        <v>7370.0</v>
      </c>
      <c r="R643" s="16">
        <v>16.0</v>
      </c>
      <c r="S643" s="4"/>
      <c r="T643" s="4"/>
      <c r="U643" s="4"/>
      <c r="V643" s="4"/>
      <c r="W643" s="4"/>
      <c r="X643" s="4"/>
      <c r="Y643" s="4"/>
    </row>
    <row r="644">
      <c r="A644" s="16" t="s">
        <v>4123</v>
      </c>
      <c r="B644" s="16">
        <v>1841330.0</v>
      </c>
      <c r="C644" s="8" t="s">
        <v>20</v>
      </c>
      <c r="D644" s="8" t="s">
        <v>4124</v>
      </c>
      <c r="E644" s="4"/>
      <c r="F644" s="4"/>
      <c r="G644" s="16">
        <v>1841330.0</v>
      </c>
      <c r="H644" s="16">
        <v>1841330.0</v>
      </c>
      <c r="I644" s="16" t="s">
        <v>4125</v>
      </c>
      <c r="J644" s="16" t="s">
        <v>4126</v>
      </c>
      <c r="K644" s="4"/>
      <c r="L644" s="16" t="s">
        <v>4126</v>
      </c>
      <c r="M644" s="16">
        <v>2021.0</v>
      </c>
      <c r="N644" s="4"/>
      <c r="O644" s="4"/>
      <c r="P644" s="16">
        <v>8731.0</v>
      </c>
      <c r="Q644" s="4"/>
      <c r="R644" s="16">
        <v>5.0</v>
      </c>
      <c r="S644" s="4"/>
      <c r="T644" s="4"/>
      <c r="U644" s="4"/>
      <c r="V644" s="4"/>
      <c r="W644" s="4"/>
      <c r="X644" s="4"/>
      <c r="Y644" s="4"/>
    </row>
    <row r="645">
      <c r="A645" s="16" t="s">
        <v>4127</v>
      </c>
      <c r="B645" s="16">
        <v>944740.0</v>
      </c>
      <c r="C645" s="8" t="s">
        <v>762</v>
      </c>
      <c r="D645" s="8" t="s">
        <v>4128</v>
      </c>
      <c r="E645" s="16" t="s">
        <v>4129</v>
      </c>
      <c r="F645" s="16">
        <v>944740.0</v>
      </c>
      <c r="G645" s="4"/>
      <c r="H645" s="16">
        <v>944740.0</v>
      </c>
      <c r="I645" s="16">
        <v>237923.0</v>
      </c>
      <c r="J645" s="16" t="s">
        <v>4130</v>
      </c>
      <c r="K645" s="16" t="s">
        <v>4130</v>
      </c>
      <c r="L645" s="16" t="s">
        <v>4130</v>
      </c>
      <c r="M645" s="16">
        <v>1995.0</v>
      </c>
      <c r="N645" s="18">
        <v>34865.0</v>
      </c>
      <c r="O645" s="18">
        <v>34865.0</v>
      </c>
      <c r="P645" s="16">
        <v>7372.0</v>
      </c>
      <c r="Q645" s="16">
        <v>7372.0</v>
      </c>
      <c r="R645" s="16">
        <v>17.0</v>
      </c>
      <c r="S645" s="4"/>
      <c r="T645" s="4"/>
      <c r="U645" s="4"/>
      <c r="V645" s="4"/>
      <c r="W645" s="4"/>
      <c r="X645" s="4"/>
      <c r="Y645" s="4"/>
    </row>
    <row r="646">
      <c r="A646" s="16" t="s">
        <v>4131</v>
      </c>
      <c r="B646" s="16">
        <v>1142512.0</v>
      </c>
      <c r="C646" s="8" t="s">
        <v>20</v>
      </c>
      <c r="D646" s="8" t="s">
        <v>4132</v>
      </c>
      <c r="E646" s="16" t="s">
        <v>4133</v>
      </c>
      <c r="F646" s="16">
        <v>1142512.0</v>
      </c>
      <c r="G646" s="4"/>
      <c r="H646" s="16">
        <v>1142512.0</v>
      </c>
      <c r="I646" s="16" t="s">
        <v>4134</v>
      </c>
      <c r="J646" s="16" t="s">
        <v>4135</v>
      </c>
      <c r="K646" s="16" t="s">
        <v>4135</v>
      </c>
      <c r="L646" s="16" t="s">
        <v>4135</v>
      </c>
      <c r="M646" s="16">
        <v>2004.0</v>
      </c>
      <c r="N646" s="18">
        <v>38301.0</v>
      </c>
      <c r="O646" s="18">
        <v>38301.0</v>
      </c>
      <c r="P646" s="16">
        <v>6531.0</v>
      </c>
      <c r="Q646" s="16">
        <v>6531.0</v>
      </c>
      <c r="R646" s="16">
        <v>13.0</v>
      </c>
      <c r="S646" s="4"/>
      <c r="T646" s="4"/>
      <c r="U646" s="4"/>
      <c r="V646" s="4"/>
      <c r="W646" s="4"/>
      <c r="X646" s="4"/>
      <c r="Y646" s="4"/>
    </row>
    <row r="647">
      <c r="A647" s="16" t="s">
        <v>4136</v>
      </c>
      <c r="B647" s="16">
        <v>1472012.0</v>
      </c>
      <c r="C647" s="8" t="s">
        <v>20</v>
      </c>
      <c r="D647" s="8" t="s">
        <v>4137</v>
      </c>
      <c r="E647" s="16" t="s">
        <v>4138</v>
      </c>
      <c r="F647" s="16">
        <v>1472012.0</v>
      </c>
      <c r="G647" s="16">
        <v>1472012.0</v>
      </c>
      <c r="H647" s="16">
        <v>1472012.0</v>
      </c>
      <c r="I647" s="16" t="s">
        <v>4139</v>
      </c>
      <c r="J647" s="16" t="s">
        <v>4140</v>
      </c>
      <c r="K647" s="16" t="s">
        <v>4140</v>
      </c>
      <c r="L647" s="16" t="s">
        <v>4140</v>
      </c>
      <c r="M647" s="16">
        <v>2020.0</v>
      </c>
      <c r="N647" s="18">
        <v>44106.0</v>
      </c>
      <c r="O647" s="18">
        <v>44106.0</v>
      </c>
      <c r="P647" s="16">
        <v>8731.0</v>
      </c>
      <c r="Q647" s="16">
        <v>2836.0</v>
      </c>
      <c r="R647" s="16">
        <v>12.0</v>
      </c>
      <c r="S647" s="4"/>
      <c r="T647" s="4"/>
      <c r="U647" s="4"/>
      <c r="V647" s="4"/>
      <c r="W647" s="4"/>
      <c r="X647" s="4"/>
      <c r="Y647" s="4"/>
    </row>
    <row r="648">
      <c r="A648" s="16" t="s">
        <v>4141</v>
      </c>
      <c r="B648" s="16">
        <v>1082526.0</v>
      </c>
      <c r="C648" s="8" t="s">
        <v>762</v>
      </c>
      <c r="D648" s="8" t="s">
        <v>4142</v>
      </c>
      <c r="E648" s="16" t="s">
        <v>4143</v>
      </c>
      <c r="F648" s="16">
        <v>1082526.0</v>
      </c>
      <c r="G648" s="4"/>
      <c r="H648" s="17">
        <v>1.08252600010483E16</v>
      </c>
      <c r="I648" s="16" t="s">
        <v>4144</v>
      </c>
      <c r="J648" s="16" t="s">
        <v>4145</v>
      </c>
      <c r="K648" s="16" t="s">
        <v>4145</v>
      </c>
      <c r="L648" s="4"/>
      <c r="M648" s="16">
        <v>2010.0</v>
      </c>
      <c r="N648" s="18">
        <v>36483.0</v>
      </c>
      <c r="O648" s="18">
        <v>36483.0</v>
      </c>
      <c r="P648" s="16">
        <v>7372.0</v>
      </c>
      <c r="Q648" s="16">
        <v>7372.0</v>
      </c>
      <c r="R648" s="16">
        <v>9.5</v>
      </c>
      <c r="S648" s="4"/>
      <c r="T648" s="4"/>
      <c r="U648" s="4"/>
      <c r="V648" s="4"/>
      <c r="W648" s="4"/>
      <c r="X648" s="4"/>
      <c r="Y648" s="4"/>
    </row>
    <row r="649">
      <c r="A649" s="16" t="s">
        <v>4146</v>
      </c>
      <c r="B649" s="16">
        <v>1125914.0</v>
      </c>
      <c r="C649" s="8" t="s">
        <v>20</v>
      </c>
      <c r="D649" s="8" t="s">
        <v>4147</v>
      </c>
      <c r="E649" s="16" t="s">
        <v>4148</v>
      </c>
      <c r="F649" s="16">
        <v>1125914.0</v>
      </c>
      <c r="G649" s="16">
        <v>1801169.0</v>
      </c>
      <c r="H649" s="16">
        <v>1125914.0</v>
      </c>
      <c r="I649" s="16" t="s">
        <v>4149</v>
      </c>
      <c r="J649" s="16" t="s">
        <v>4150</v>
      </c>
      <c r="K649" s="16" t="s">
        <v>4151</v>
      </c>
      <c r="L649" s="16" t="s">
        <v>4150</v>
      </c>
      <c r="M649" s="16">
        <v>2009.0</v>
      </c>
      <c r="N649" s="18">
        <v>39954.0</v>
      </c>
      <c r="O649" s="18">
        <v>39954.0</v>
      </c>
      <c r="P649" s="16">
        <v>7389.0</v>
      </c>
      <c r="Q649" s="16">
        <v>7373.0</v>
      </c>
      <c r="R649" s="16">
        <v>20.0</v>
      </c>
      <c r="S649" s="4"/>
      <c r="T649" s="4"/>
      <c r="U649" s="4"/>
      <c r="V649" s="4"/>
      <c r="W649" s="4"/>
      <c r="X649" s="4"/>
      <c r="Y649" s="4"/>
    </row>
    <row r="650">
      <c r="A650" s="16" t="s">
        <v>4152</v>
      </c>
      <c r="B650" s="16">
        <v>1490660.0</v>
      </c>
      <c r="C650" s="8" t="s">
        <v>762</v>
      </c>
      <c r="D650" s="8" t="s">
        <v>4153</v>
      </c>
      <c r="E650" s="16" t="s">
        <v>4154</v>
      </c>
      <c r="F650" s="16">
        <v>1490660.0</v>
      </c>
      <c r="G650" s="4"/>
      <c r="H650" s="16">
        <v>1490660.0</v>
      </c>
      <c r="I650" s="16" t="s">
        <v>4155</v>
      </c>
      <c r="J650" s="16" t="s">
        <v>4156</v>
      </c>
      <c r="K650" s="16" t="s">
        <v>4156</v>
      </c>
      <c r="L650" s="16" t="s">
        <v>4156</v>
      </c>
      <c r="M650" s="16">
        <v>2013.0</v>
      </c>
      <c r="N650" s="18">
        <v>41411.0</v>
      </c>
      <c r="O650" s="18">
        <v>41411.0</v>
      </c>
      <c r="P650" s="16">
        <v>7372.0</v>
      </c>
      <c r="Q650" s="16">
        <v>7370.0</v>
      </c>
      <c r="R650" s="16">
        <v>13.0</v>
      </c>
      <c r="S650" s="4"/>
      <c r="T650" s="4"/>
      <c r="U650" s="4"/>
      <c r="V650" s="4"/>
      <c r="W650" s="4"/>
      <c r="X650" s="4"/>
      <c r="Y650" s="4"/>
    </row>
    <row r="651">
      <c r="A651" s="16" t="s">
        <v>4157</v>
      </c>
      <c r="B651" s="16">
        <v>1540755.0</v>
      </c>
      <c r="C651" s="8" t="s">
        <v>762</v>
      </c>
      <c r="D651" s="8" t="s">
        <v>4158</v>
      </c>
      <c r="E651" s="16" t="s">
        <v>4159</v>
      </c>
      <c r="F651" s="16">
        <v>1540755.0</v>
      </c>
      <c r="G651" s="4"/>
      <c r="H651" s="16">
        <v>1540755.0</v>
      </c>
      <c r="I651" s="16" t="s">
        <v>4160</v>
      </c>
      <c r="J651" s="16" t="s">
        <v>4161</v>
      </c>
      <c r="K651" s="16" t="s">
        <v>4161</v>
      </c>
      <c r="L651" s="16" t="s">
        <v>4161</v>
      </c>
      <c r="M651" s="16">
        <v>2018.0</v>
      </c>
      <c r="N651" s="18">
        <v>43385.0</v>
      </c>
      <c r="O651" s="18">
        <v>43385.0</v>
      </c>
      <c r="P651" s="16">
        <v>7376.0</v>
      </c>
      <c r="Q651" s="16">
        <v>7370.0</v>
      </c>
      <c r="R651" s="16">
        <v>17.0</v>
      </c>
      <c r="S651" s="4"/>
      <c r="T651" s="4"/>
      <c r="U651" s="4"/>
      <c r="V651" s="4"/>
      <c r="W651" s="4"/>
      <c r="X651" s="4"/>
      <c r="Y651" s="4"/>
    </row>
    <row r="652">
      <c r="A652" s="16" t="s">
        <v>4162</v>
      </c>
      <c r="B652" s="16">
        <v>1080088.0</v>
      </c>
      <c r="C652" s="8" t="s">
        <v>20</v>
      </c>
      <c r="D652" s="8" t="s">
        <v>4163</v>
      </c>
      <c r="E652" s="4"/>
      <c r="F652" s="4"/>
      <c r="G652" s="4"/>
      <c r="H652" s="16">
        <v>1080088.0</v>
      </c>
      <c r="I652" s="16">
        <v>874263.0</v>
      </c>
      <c r="J652" s="16" t="s">
        <v>4164</v>
      </c>
      <c r="K652" s="4"/>
      <c r="L652" s="16" t="s">
        <v>4164</v>
      </c>
      <c r="M652" s="16">
        <v>1999.0</v>
      </c>
      <c r="N652" s="4"/>
      <c r="O652" s="4"/>
      <c r="P652" s="16">
        <v>7375.0</v>
      </c>
      <c r="Q652" s="4"/>
      <c r="R652" s="16">
        <v>12.0</v>
      </c>
      <c r="S652" s="4"/>
      <c r="T652" s="4"/>
      <c r="U652" s="4"/>
      <c r="V652" s="4"/>
      <c r="W652" s="4"/>
      <c r="X652" s="4"/>
      <c r="Y652" s="4"/>
    </row>
    <row r="653">
      <c r="A653" s="16" t="s">
        <v>4165</v>
      </c>
      <c r="B653" s="16">
        <v>820999.0</v>
      </c>
      <c r="C653" s="8" t="s">
        <v>20</v>
      </c>
      <c r="D653" s="8" t="s">
        <v>4166</v>
      </c>
      <c r="E653" s="16" t="s">
        <v>4167</v>
      </c>
      <c r="F653" s="16">
        <v>820999.0</v>
      </c>
      <c r="G653" s="4"/>
      <c r="H653" s="17">
        <v>8.20999000107301E15</v>
      </c>
      <c r="I653" s="16">
        <v>253914.0</v>
      </c>
      <c r="J653" s="16" t="s">
        <v>4168</v>
      </c>
      <c r="K653" s="16" t="s">
        <v>4169</v>
      </c>
      <c r="L653" s="4"/>
      <c r="M653" s="16">
        <v>1994.0</v>
      </c>
      <c r="N653" s="18">
        <v>34549.0</v>
      </c>
      <c r="O653" s="18">
        <v>34549.0</v>
      </c>
      <c r="P653" s="16">
        <v>7331.0</v>
      </c>
      <c r="Q653" s="16">
        <v>7331.0</v>
      </c>
      <c r="R653" s="16">
        <v>10.0</v>
      </c>
      <c r="S653" s="4"/>
      <c r="T653" s="4"/>
      <c r="U653" s="4"/>
      <c r="V653" s="4"/>
      <c r="W653" s="4"/>
      <c r="X653" s="4"/>
      <c r="Y653" s="4"/>
    </row>
    <row r="654">
      <c r="A654" s="16" t="s">
        <v>4170</v>
      </c>
      <c r="B654" s="16">
        <v>1288784.0</v>
      </c>
      <c r="C654" s="8" t="s">
        <v>20</v>
      </c>
      <c r="D654" s="8" t="s">
        <v>4171</v>
      </c>
      <c r="E654" s="16" t="s">
        <v>4172</v>
      </c>
      <c r="F654" s="16">
        <v>1288784.0</v>
      </c>
      <c r="G654" s="4"/>
      <c r="H654" s="16">
        <v>1288784.0</v>
      </c>
      <c r="I654" s="16" t="s">
        <v>4173</v>
      </c>
      <c r="J654" s="16" t="s">
        <v>4174</v>
      </c>
      <c r="K654" s="16" t="s">
        <v>4174</v>
      </c>
      <c r="L654" s="16" t="s">
        <v>4174</v>
      </c>
      <c r="M654" s="16">
        <v>2004.0</v>
      </c>
      <c r="N654" s="18">
        <v>38069.0</v>
      </c>
      <c r="O654" s="18">
        <v>38069.0</v>
      </c>
      <c r="P654" s="16">
        <v>6022.0</v>
      </c>
      <c r="Q654" s="16">
        <v>6020.0</v>
      </c>
      <c r="R654" s="16">
        <v>15.5</v>
      </c>
      <c r="S654" s="4"/>
      <c r="T654" s="4"/>
      <c r="U654" s="4"/>
      <c r="V654" s="4"/>
      <c r="W654" s="4"/>
      <c r="X654" s="4"/>
      <c r="Y654" s="4"/>
    </row>
    <row r="655">
      <c r="A655" s="16" t="s">
        <v>4175</v>
      </c>
      <c r="B655" s="16">
        <v>1304901.0</v>
      </c>
      <c r="C655" s="8" t="s">
        <v>20</v>
      </c>
      <c r="D655" s="8" t="s">
        <v>4176</v>
      </c>
      <c r="E655" s="16" t="s">
        <v>4177</v>
      </c>
      <c r="F655" s="16">
        <v>1304901.0</v>
      </c>
      <c r="G655" s="4"/>
      <c r="H655" s="16">
        <v>1304901.0</v>
      </c>
      <c r="I655" s="16">
        <v>895578.0</v>
      </c>
      <c r="J655" s="16" t="s">
        <v>4178</v>
      </c>
      <c r="K655" s="16" t="s">
        <v>4179</v>
      </c>
      <c r="L655" s="16" t="s">
        <v>4178</v>
      </c>
      <c r="M655" s="16">
        <v>2005.0</v>
      </c>
      <c r="N655" s="18">
        <v>38392.0</v>
      </c>
      <c r="O655" s="18">
        <v>38392.0</v>
      </c>
      <c r="P655" s="16">
        <v>7381.0</v>
      </c>
      <c r="Q655" s="16">
        <v>7381.0</v>
      </c>
      <c r="R655" s="16">
        <v>6.0</v>
      </c>
      <c r="S655" s="4"/>
      <c r="T655" s="4"/>
      <c r="U655" s="4"/>
      <c r="V655" s="4"/>
      <c r="W655" s="4"/>
      <c r="X655" s="4"/>
      <c r="Y655" s="4"/>
    </row>
    <row r="656">
      <c r="A656" s="16" t="s">
        <v>4180</v>
      </c>
      <c r="B656" s="16">
        <v>1000188.0</v>
      </c>
      <c r="C656" s="8" t="s">
        <v>762</v>
      </c>
      <c r="D656" s="8" t="s">
        <v>4181</v>
      </c>
      <c r="E656" s="16" t="s">
        <v>4182</v>
      </c>
      <c r="F656" s="16">
        <v>1000188.0</v>
      </c>
      <c r="G656" s="4"/>
      <c r="H656" s="17">
        <v>1.00018800014794E26</v>
      </c>
      <c r="I656" s="16">
        <v>293797.0</v>
      </c>
      <c r="J656" s="16" t="s">
        <v>4183</v>
      </c>
      <c r="K656" s="16" t="s">
        <v>4184</v>
      </c>
      <c r="L656" s="16" t="s">
        <v>4183</v>
      </c>
      <c r="M656" s="16">
        <v>1995.0</v>
      </c>
      <c r="N656" s="18">
        <v>34991.0</v>
      </c>
      <c r="O656" s="18">
        <v>34991.0</v>
      </c>
      <c r="P656" s="16">
        <v>7372.0</v>
      </c>
      <c r="Q656" s="16">
        <v>7373.0</v>
      </c>
      <c r="R656" s="16">
        <v>16.0</v>
      </c>
      <c r="S656" s="4"/>
      <c r="T656" s="4"/>
      <c r="U656" s="4"/>
      <c r="V656" s="4"/>
      <c r="W656" s="4"/>
      <c r="X656" s="4"/>
      <c r="Y656" s="4"/>
    </row>
    <row r="657">
      <c r="A657" s="16" t="s">
        <v>4185</v>
      </c>
      <c r="B657" s="16">
        <v>1096839.0</v>
      </c>
      <c r="C657" s="8" t="s">
        <v>20</v>
      </c>
      <c r="D657" s="8" t="s">
        <v>4186</v>
      </c>
      <c r="E657" s="16" t="s">
        <v>4187</v>
      </c>
      <c r="F657" s="16">
        <v>1096839.0</v>
      </c>
      <c r="G657" s="16">
        <v>1894562.0</v>
      </c>
      <c r="H657" s="16">
        <v>1096839.0</v>
      </c>
      <c r="I657" s="16" t="s">
        <v>4188</v>
      </c>
      <c r="J657" s="16" t="s">
        <v>4189</v>
      </c>
      <c r="K657" s="16" t="s">
        <v>4190</v>
      </c>
      <c r="L657" s="16" t="s">
        <v>4189</v>
      </c>
      <c r="M657" s="16">
        <v>2000.0</v>
      </c>
      <c r="N657" s="18">
        <v>36587.0</v>
      </c>
      <c r="O657" s="18">
        <v>36587.0</v>
      </c>
      <c r="P657" s="16">
        <v>7372.0</v>
      </c>
      <c r="Q657" s="16">
        <v>7372.0</v>
      </c>
      <c r="R657" s="16">
        <v>18.0</v>
      </c>
      <c r="S657" s="4"/>
      <c r="T657" s="4"/>
      <c r="U657" s="4"/>
      <c r="V657" s="4"/>
      <c r="W657" s="4"/>
      <c r="X657" s="4"/>
      <c r="Y657" s="4"/>
    </row>
    <row r="658">
      <c r="A658" s="16" t="s">
        <v>4191</v>
      </c>
      <c r="B658" s="16">
        <v>1830043.0</v>
      </c>
      <c r="C658" s="8" t="s">
        <v>20</v>
      </c>
      <c r="D658" s="8" t="s">
        <v>4192</v>
      </c>
      <c r="E658" s="16" t="s">
        <v>4193</v>
      </c>
      <c r="F658" s="16">
        <v>1830043.0</v>
      </c>
      <c r="G658" s="16">
        <v>1830043.0</v>
      </c>
      <c r="H658" s="16">
        <v>1830043.0</v>
      </c>
      <c r="I658" s="16" t="s">
        <v>4194</v>
      </c>
      <c r="J658" s="16" t="s">
        <v>4195</v>
      </c>
      <c r="K658" s="16" t="s">
        <v>4195</v>
      </c>
      <c r="L658" s="16" t="s">
        <v>4195</v>
      </c>
      <c r="M658" s="16">
        <v>2021.0</v>
      </c>
      <c r="N658" s="18">
        <v>44238.0</v>
      </c>
      <c r="O658" s="18">
        <v>44238.0</v>
      </c>
      <c r="P658" s="16">
        <v>7372.0</v>
      </c>
      <c r="Q658" s="16">
        <v>7370.0</v>
      </c>
      <c r="R658" s="16">
        <v>43.0</v>
      </c>
      <c r="S658" s="4"/>
      <c r="T658" s="4"/>
      <c r="U658" s="4"/>
      <c r="V658" s="4"/>
      <c r="W658" s="4"/>
      <c r="X658" s="4"/>
      <c r="Y658" s="4"/>
    </row>
    <row r="659">
      <c r="A659" s="16" t="s">
        <v>4196</v>
      </c>
      <c r="B659" s="16">
        <v>1091284.0</v>
      </c>
      <c r="C659" s="8" t="s">
        <v>762</v>
      </c>
      <c r="D659" s="8" t="s">
        <v>4197</v>
      </c>
      <c r="E659" s="16" t="s">
        <v>4198</v>
      </c>
      <c r="F659" s="16">
        <v>1091284.0</v>
      </c>
      <c r="G659" s="4"/>
      <c r="H659" s="16">
        <v>1091284.0</v>
      </c>
      <c r="I659" s="16" t="s">
        <v>4199</v>
      </c>
      <c r="J659" s="16" t="s">
        <v>4200</v>
      </c>
      <c r="K659" s="16" t="s">
        <v>4201</v>
      </c>
      <c r="L659" s="16" t="s">
        <v>4200</v>
      </c>
      <c r="M659" s="16">
        <v>2000.0</v>
      </c>
      <c r="N659" s="18">
        <v>36588.0</v>
      </c>
      <c r="O659" s="18">
        <v>36588.0</v>
      </c>
      <c r="P659" s="16">
        <v>7379.0</v>
      </c>
      <c r="Q659" s="16">
        <v>7389.0</v>
      </c>
      <c r="R659" s="16">
        <v>24.0</v>
      </c>
      <c r="S659" s="4"/>
      <c r="T659" s="4"/>
      <c r="U659" s="4"/>
      <c r="V659" s="4"/>
      <c r="W659" s="4"/>
      <c r="X659" s="4"/>
      <c r="Y659" s="4"/>
    </row>
    <row r="660">
      <c r="A660" s="16" t="s">
        <v>4202</v>
      </c>
      <c r="B660" s="16">
        <v>1487999.0</v>
      </c>
      <c r="C660" s="8" t="s">
        <v>20</v>
      </c>
      <c r="D660" s="8" t="s">
        <v>4203</v>
      </c>
      <c r="E660" s="16" t="s">
        <v>4204</v>
      </c>
      <c r="F660" s="16">
        <v>1487999.0</v>
      </c>
      <c r="G660" s="16">
        <v>1372612.0</v>
      </c>
      <c r="H660" s="16">
        <v>1487999.0</v>
      </c>
      <c r="I660" s="16" t="s">
        <v>4205</v>
      </c>
      <c r="J660" s="16" t="s">
        <v>4206</v>
      </c>
      <c r="K660" s="16" t="s">
        <v>4207</v>
      </c>
      <c r="L660" s="16" t="s">
        <v>4206</v>
      </c>
      <c r="M660" s="16">
        <v>2010.0</v>
      </c>
      <c r="N660" s="18">
        <v>40479.0</v>
      </c>
      <c r="O660" s="18">
        <v>40479.0</v>
      </c>
      <c r="P660" s="16">
        <v>7359.0</v>
      </c>
      <c r="Q660" s="16">
        <v>7359.0</v>
      </c>
      <c r="R660" s="16">
        <v>10.0</v>
      </c>
      <c r="S660" s="4"/>
      <c r="T660" s="4"/>
      <c r="U660" s="4"/>
      <c r="V660" s="4"/>
      <c r="W660" s="4"/>
      <c r="X660" s="4"/>
      <c r="Y660" s="4"/>
    </row>
    <row r="661">
      <c r="A661" s="16" t="s">
        <v>4208</v>
      </c>
      <c r="B661" s="16">
        <v>1382101.0</v>
      </c>
      <c r="C661" s="8" t="s">
        <v>20</v>
      </c>
      <c r="D661" s="8" t="s">
        <v>4209</v>
      </c>
      <c r="E661" s="16" t="s">
        <v>4210</v>
      </c>
      <c r="F661" s="16">
        <v>1382101.0</v>
      </c>
      <c r="G661" s="16">
        <v>1382101.0</v>
      </c>
      <c r="H661" s="16">
        <v>1382101.0</v>
      </c>
      <c r="I661" s="16">
        <v>869367.0</v>
      </c>
      <c r="J661" s="16" t="s">
        <v>4211</v>
      </c>
      <c r="K661" s="16" t="s">
        <v>4211</v>
      </c>
      <c r="L661" s="16" t="s">
        <v>4211</v>
      </c>
      <c r="M661" s="16">
        <v>2018.0</v>
      </c>
      <c r="N661" s="18">
        <v>43370.0</v>
      </c>
      <c r="O661" s="18">
        <v>43370.0</v>
      </c>
      <c r="P661" s="16">
        <v>8731.0</v>
      </c>
      <c r="Q661" s="16">
        <v>2836.0</v>
      </c>
      <c r="R661" s="16">
        <v>15.0</v>
      </c>
      <c r="S661" s="4"/>
      <c r="T661" s="4"/>
      <c r="U661" s="4"/>
      <c r="V661" s="4"/>
      <c r="W661" s="4"/>
      <c r="X661" s="4"/>
      <c r="Y661" s="4"/>
    </row>
    <row r="662">
      <c r="A662" s="16" t="s">
        <v>4212</v>
      </c>
      <c r="B662" s="16">
        <v>1002536.0</v>
      </c>
      <c r="C662" s="8" t="s">
        <v>20</v>
      </c>
      <c r="D662" s="8" t="s">
        <v>4213</v>
      </c>
      <c r="E662" s="16" t="s">
        <v>4214</v>
      </c>
      <c r="F662" s="16">
        <v>1002536.0</v>
      </c>
      <c r="G662" s="16">
        <v>1625297.0</v>
      </c>
      <c r="H662" s="16">
        <v>1002536.0</v>
      </c>
      <c r="I662" s="16">
        <v>455912.0</v>
      </c>
      <c r="J662" s="16" t="s">
        <v>4215</v>
      </c>
      <c r="K662" s="16" t="s">
        <v>4216</v>
      </c>
      <c r="L662" s="16" t="s">
        <v>4215</v>
      </c>
      <c r="M662" s="16">
        <v>1996.0</v>
      </c>
      <c r="N662" s="18">
        <v>35139.0</v>
      </c>
      <c r="O662" s="18">
        <v>35139.0</v>
      </c>
      <c r="P662" s="16">
        <v>7375.0</v>
      </c>
      <c r="Q662" s="16">
        <v>7370.0</v>
      </c>
      <c r="R662" s="16">
        <v>14.0</v>
      </c>
      <c r="S662" s="4"/>
      <c r="T662" s="4"/>
      <c r="U662" s="4"/>
      <c r="V662" s="4"/>
      <c r="W662" s="4"/>
      <c r="X662" s="4"/>
      <c r="Y662" s="4"/>
    </row>
    <row r="663">
      <c r="A663" s="16" t="s">
        <v>4217</v>
      </c>
      <c r="B663" s="16">
        <v>1540400.0</v>
      </c>
      <c r="C663" s="8" t="s">
        <v>20</v>
      </c>
      <c r="D663" s="8" t="s">
        <v>4218</v>
      </c>
      <c r="E663" s="16" t="s">
        <v>4219</v>
      </c>
      <c r="F663" s="16">
        <v>1540400.0</v>
      </c>
      <c r="G663" s="4"/>
      <c r="H663" s="16">
        <v>1540400.0</v>
      </c>
      <c r="I663" s="16" t="s">
        <v>4220</v>
      </c>
      <c r="J663" s="16" t="s">
        <v>4221</v>
      </c>
      <c r="K663" s="16" t="s">
        <v>4221</v>
      </c>
      <c r="L663" s="16" t="s">
        <v>4221</v>
      </c>
      <c r="M663" s="16">
        <v>2012.0</v>
      </c>
      <c r="N663" s="18">
        <v>41116.0</v>
      </c>
      <c r="O663" s="18">
        <v>41116.0</v>
      </c>
      <c r="P663" s="16">
        <v>7372.0</v>
      </c>
      <c r="Q663" s="16">
        <v>7370.0</v>
      </c>
      <c r="R663" s="16">
        <v>15.0</v>
      </c>
      <c r="S663" s="4"/>
      <c r="T663" s="4"/>
      <c r="U663" s="4"/>
      <c r="V663" s="4"/>
      <c r="W663" s="4"/>
      <c r="X663" s="4"/>
      <c r="Y663" s="4"/>
    </row>
    <row r="664">
      <c r="A664" s="16" t="s">
        <v>4222</v>
      </c>
      <c r="B664" s="16">
        <v>1006368.0</v>
      </c>
      <c r="C664" s="8" t="s">
        <v>20</v>
      </c>
      <c r="D664" s="8" t="s">
        <v>4223</v>
      </c>
      <c r="E664" s="16" t="s">
        <v>4224</v>
      </c>
      <c r="F664" s="16">
        <v>1006368.0</v>
      </c>
      <c r="G664" s="4"/>
      <c r="H664" s="16">
        <v>1006368.0</v>
      </c>
      <c r="I664" s="16">
        <v>627487.0</v>
      </c>
      <c r="J664" s="16" t="s">
        <v>4225</v>
      </c>
      <c r="K664" s="16" t="s">
        <v>4225</v>
      </c>
      <c r="L664" s="16" t="s">
        <v>4225</v>
      </c>
      <c r="M664" s="16">
        <v>1998.0</v>
      </c>
      <c r="N664" s="18">
        <v>36115.0</v>
      </c>
      <c r="O664" s="18">
        <v>36115.0</v>
      </c>
      <c r="P664" s="16">
        <v>7372.0</v>
      </c>
      <c r="Q664" s="16">
        <v>7372.0</v>
      </c>
      <c r="R664" s="16">
        <v>8.0</v>
      </c>
      <c r="S664" s="4"/>
      <c r="T664" s="4"/>
      <c r="U664" s="4"/>
      <c r="V664" s="4"/>
      <c r="W664" s="4"/>
      <c r="X664" s="4"/>
      <c r="Y664" s="4"/>
    </row>
    <row r="665">
      <c r="A665" s="16" t="s">
        <v>4226</v>
      </c>
      <c r="B665" s="16">
        <v>1676725.0</v>
      </c>
      <c r="C665" s="8" t="s">
        <v>20</v>
      </c>
      <c r="D665" s="8" t="s">
        <v>4227</v>
      </c>
      <c r="E665" s="16" t="s">
        <v>4228</v>
      </c>
      <c r="F665" s="16">
        <v>1676725.0</v>
      </c>
      <c r="G665" s="16">
        <v>1676725.0</v>
      </c>
      <c r="H665" s="16">
        <v>1676725.0</v>
      </c>
      <c r="I665" s="16" t="s">
        <v>4229</v>
      </c>
      <c r="J665" s="16" t="s">
        <v>4230</v>
      </c>
      <c r="K665" s="16" t="s">
        <v>4230</v>
      </c>
      <c r="L665" s="16" t="s">
        <v>4230</v>
      </c>
      <c r="M665" s="16">
        <v>2019.0</v>
      </c>
      <c r="N665" s="18">
        <v>43608.0</v>
      </c>
      <c r="O665" s="18">
        <v>43608.0</v>
      </c>
      <c r="P665" s="16">
        <v>8731.0</v>
      </c>
      <c r="Q665" s="16">
        <v>2836.0</v>
      </c>
      <c r="R665" s="16">
        <v>10.0</v>
      </c>
      <c r="S665" s="4"/>
      <c r="T665" s="4"/>
      <c r="U665" s="4"/>
      <c r="V665" s="4"/>
      <c r="W665" s="4"/>
      <c r="X665" s="4"/>
      <c r="Y665" s="4"/>
    </row>
    <row r="666">
      <c r="A666" s="16" t="s">
        <v>4231</v>
      </c>
      <c r="B666" s="16">
        <v>891276.0</v>
      </c>
      <c r="C666" s="8" t="s">
        <v>20</v>
      </c>
      <c r="D666" s="8" t="s">
        <v>4232</v>
      </c>
      <c r="E666" s="16" t="s">
        <v>4233</v>
      </c>
      <c r="F666" s="16">
        <v>891276.0</v>
      </c>
      <c r="G666" s="4"/>
      <c r="H666" s="16">
        <v>891276.0</v>
      </c>
      <c r="I666" s="16">
        <v>958176.0</v>
      </c>
      <c r="J666" s="16" t="s">
        <v>4234</v>
      </c>
      <c r="K666" s="16" t="s">
        <v>4235</v>
      </c>
      <c r="L666" s="16" t="s">
        <v>4234</v>
      </c>
      <c r="M666" s="16">
        <v>1995.0</v>
      </c>
      <c r="N666" s="18">
        <v>35024.0</v>
      </c>
      <c r="O666" s="18">
        <v>35024.0</v>
      </c>
      <c r="P666" s="16">
        <v>6141.0</v>
      </c>
      <c r="Q666" s="16">
        <v>6141.0</v>
      </c>
      <c r="R666" s="16">
        <v>6.0</v>
      </c>
      <c r="S666" s="4"/>
      <c r="T666" s="4"/>
      <c r="U666" s="4"/>
      <c r="V666" s="4"/>
      <c r="W666" s="4"/>
      <c r="X666" s="4"/>
      <c r="Y666" s="4"/>
    </row>
    <row r="667">
      <c r="A667" s="16" t="s">
        <v>4236</v>
      </c>
      <c r="B667" s="16">
        <v>894705.0</v>
      </c>
      <c r="C667" s="8" t="s">
        <v>762</v>
      </c>
      <c r="D667" s="8" t="s">
        <v>4237</v>
      </c>
      <c r="E667" s="16" t="s">
        <v>4238</v>
      </c>
      <c r="F667" s="16">
        <v>894705.0</v>
      </c>
      <c r="G667" s="4"/>
      <c r="H667" s="16">
        <v>894705.0</v>
      </c>
      <c r="I667" s="16">
        <v>809172.0</v>
      </c>
      <c r="J667" s="16" t="s">
        <v>4239</v>
      </c>
      <c r="K667" s="16" t="s">
        <v>4240</v>
      </c>
      <c r="L667" s="16" t="s">
        <v>4239</v>
      </c>
      <c r="M667" s="16">
        <v>1995.0</v>
      </c>
      <c r="N667" s="18">
        <v>35019.0</v>
      </c>
      <c r="O667" s="18">
        <v>35019.0</v>
      </c>
      <c r="P667" s="16">
        <v>7372.0</v>
      </c>
      <c r="Q667" s="16">
        <v>7372.0</v>
      </c>
      <c r="R667" s="16">
        <v>12.0</v>
      </c>
      <c r="S667" s="4"/>
      <c r="T667" s="4"/>
      <c r="U667" s="4"/>
      <c r="V667" s="4"/>
      <c r="W667" s="4"/>
      <c r="X667" s="4"/>
      <c r="Y667" s="4"/>
    </row>
    <row r="668">
      <c r="A668" s="16" t="s">
        <v>4241</v>
      </c>
      <c r="B668" s="16">
        <v>1011344.0</v>
      </c>
      <c r="C668" s="8" t="s">
        <v>20</v>
      </c>
      <c r="D668" s="8" t="s">
        <v>4242</v>
      </c>
      <c r="E668" s="16" t="s">
        <v>4243</v>
      </c>
      <c r="F668" s="16">
        <v>1011344.0</v>
      </c>
      <c r="G668" s="4"/>
      <c r="H668" s="16">
        <v>1011344.0</v>
      </c>
      <c r="I668" s="16">
        <v>695210.0</v>
      </c>
      <c r="J668" s="16" t="s">
        <v>4244</v>
      </c>
      <c r="K668" s="16" t="s">
        <v>4244</v>
      </c>
      <c r="L668" s="16" t="s">
        <v>4244</v>
      </c>
      <c r="M668" s="16">
        <v>1999.0</v>
      </c>
      <c r="N668" s="18">
        <v>36369.0</v>
      </c>
      <c r="O668" s="18">
        <v>36369.0</v>
      </c>
      <c r="P668" s="16">
        <v>7373.0</v>
      </c>
      <c r="Q668" s="16">
        <v>7373.0</v>
      </c>
      <c r="R668" s="16">
        <v>15.0</v>
      </c>
      <c r="S668" s="4"/>
      <c r="T668" s="4"/>
      <c r="U668" s="4"/>
      <c r="V668" s="4"/>
      <c r="W668" s="4"/>
      <c r="X668" s="4"/>
      <c r="Y668" s="4"/>
    </row>
    <row r="669">
      <c r="A669" s="16" t="s">
        <v>4245</v>
      </c>
      <c r="B669" s="16">
        <v>1722271.0</v>
      </c>
      <c r="C669" s="8" t="s">
        <v>20</v>
      </c>
      <c r="D669" s="8" t="s">
        <v>4246</v>
      </c>
      <c r="E669" s="16" t="s">
        <v>4247</v>
      </c>
      <c r="F669" s="16">
        <v>1722271.0</v>
      </c>
      <c r="G669" s="4"/>
      <c r="H669" s="16">
        <v>1722271.0</v>
      </c>
      <c r="I669" s="16" t="s">
        <v>4248</v>
      </c>
      <c r="J669" s="16" t="s">
        <v>4249</v>
      </c>
      <c r="K669" s="16" t="s">
        <v>4249</v>
      </c>
      <c r="L669" s="16" t="s">
        <v>4249</v>
      </c>
      <c r="M669" s="16">
        <v>2020.0</v>
      </c>
      <c r="N669" s="18">
        <v>44008.0</v>
      </c>
      <c r="O669" s="18">
        <v>44008.0</v>
      </c>
      <c r="P669" s="16">
        <v>8731.0</v>
      </c>
      <c r="Q669" s="16">
        <v>2836.0</v>
      </c>
      <c r="R669" s="16">
        <v>17.0</v>
      </c>
      <c r="S669" s="4"/>
      <c r="T669" s="4"/>
      <c r="U669" s="4"/>
      <c r="V669" s="4"/>
      <c r="W669" s="4"/>
      <c r="X669" s="4"/>
      <c r="Y669" s="4"/>
    </row>
    <row r="670">
      <c r="A670" s="16" t="s">
        <v>4250</v>
      </c>
      <c r="B670" s="16">
        <v>894572.0</v>
      </c>
      <c r="C670" s="8" t="s">
        <v>762</v>
      </c>
      <c r="D670" s="8" t="s">
        <v>4251</v>
      </c>
      <c r="E670" s="16" t="s">
        <v>4252</v>
      </c>
      <c r="F670" s="16">
        <v>894572.0</v>
      </c>
      <c r="G670" s="4"/>
      <c r="H670" s="16">
        <v>894572.0</v>
      </c>
      <c r="I670" s="16">
        <v>815807.0</v>
      </c>
      <c r="J670" s="16" t="s">
        <v>4253</v>
      </c>
      <c r="K670" s="16" t="s">
        <v>4253</v>
      </c>
      <c r="L670" s="16" t="s">
        <v>4253</v>
      </c>
      <c r="M670" s="16">
        <v>1996.0</v>
      </c>
      <c r="N670" s="18">
        <v>35152.0</v>
      </c>
      <c r="O670" s="18">
        <v>35152.0</v>
      </c>
      <c r="P670" s="16">
        <v>7372.0</v>
      </c>
      <c r="Q670" s="16">
        <v>7372.0</v>
      </c>
      <c r="R670" s="16">
        <v>18.0</v>
      </c>
      <c r="S670" s="4"/>
      <c r="T670" s="4"/>
      <c r="U670" s="4"/>
      <c r="V670" s="4"/>
      <c r="W670" s="4"/>
      <c r="X670" s="4"/>
      <c r="Y670" s="4"/>
    </row>
    <row r="671">
      <c r="A671" s="16" t="s">
        <v>4254</v>
      </c>
      <c r="B671" s="16">
        <v>1019156.0</v>
      </c>
      <c r="C671" s="8" t="s">
        <v>20</v>
      </c>
      <c r="D671" s="8" t="s">
        <v>4255</v>
      </c>
      <c r="E671" s="16" t="s">
        <v>4256</v>
      </c>
      <c r="F671" s="16">
        <v>1019156.0</v>
      </c>
      <c r="G671" s="16">
        <v>1598110.0</v>
      </c>
      <c r="H671" s="16">
        <v>1019156.0</v>
      </c>
      <c r="I671" s="16" t="s">
        <v>4257</v>
      </c>
      <c r="J671" s="16" t="s">
        <v>4258</v>
      </c>
      <c r="K671" s="16" t="s">
        <v>4259</v>
      </c>
      <c r="L671" s="16" t="s">
        <v>4258</v>
      </c>
      <c r="M671" s="16">
        <v>1996.0</v>
      </c>
      <c r="N671" s="18">
        <v>35361.0</v>
      </c>
      <c r="O671" s="18">
        <v>35361.0</v>
      </c>
      <c r="P671" s="16">
        <v>7372.0</v>
      </c>
      <c r="Q671" s="16">
        <v>7372.0</v>
      </c>
      <c r="R671" s="16">
        <v>16.0</v>
      </c>
      <c r="S671" s="4"/>
      <c r="T671" s="4"/>
      <c r="U671" s="4"/>
      <c r="V671" s="4"/>
      <c r="W671" s="4"/>
      <c r="X671" s="4"/>
      <c r="Y671" s="4"/>
    </row>
    <row r="672">
      <c r="A672" s="16" t="s">
        <v>4260</v>
      </c>
      <c r="B672" s="16">
        <v>1088724.0</v>
      </c>
      <c r="C672" s="8" t="s">
        <v>20</v>
      </c>
      <c r="D672" s="8" t="s">
        <v>4261</v>
      </c>
      <c r="E672" s="16" t="s">
        <v>4262</v>
      </c>
      <c r="F672" s="16">
        <v>1088724.0</v>
      </c>
      <c r="G672" s="4"/>
      <c r="H672" s="16">
        <v>1088724.0</v>
      </c>
      <c r="I672" s="16" t="s">
        <v>4263</v>
      </c>
      <c r="J672" s="16" t="s">
        <v>4264</v>
      </c>
      <c r="K672" s="16" t="s">
        <v>4264</v>
      </c>
      <c r="L672" s="16" t="s">
        <v>4264</v>
      </c>
      <c r="M672" s="16">
        <v>2000.0</v>
      </c>
      <c r="N672" s="18">
        <v>36802.0</v>
      </c>
      <c r="O672" s="18">
        <v>36802.0</v>
      </c>
      <c r="P672" s="16">
        <v>7372.0</v>
      </c>
      <c r="Q672" s="16">
        <v>7372.0</v>
      </c>
      <c r="R672" s="16">
        <v>16.0</v>
      </c>
      <c r="S672" s="4"/>
      <c r="T672" s="4"/>
      <c r="U672" s="4"/>
      <c r="V672" s="4"/>
      <c r="W672" s="4"/>
      <c r="X672" s="4"/>
      <c r="Y672" s="4"/>
    </row>
    <row r="673">
      <c r="A673" s="19" t="s">
        <v>4265</v>
      </c>
      <c r="B673" s="16">
        <v>1068726.0</v>
      </c>
      <c r="C673" s="8" t="s">
        <v>20</v>
      </c>
      <c r="D673" s="8" t="s">
        <v>4266</v>
      </c>
      <c r="E673" s="16" t="s">
        <v>4267</v>
      </c>
      <c r="F673" s="16">
        <v>1068726.0</v>
      </c>
      <c r="G673" s="16">
        <v>1611052.0</v>
      </c>
      <c r="H673" s="16">
        <v>1068726.0</v>
      </c>
      <c r="I673" s="16" t="s">
        <v>4268</v>
      </c>
      <c r="J673" s="16" t="s">
        <v>4269</v>
      </c>
      <c r="K673" s="16" t="s">
        <v>4270</v>
      </c>
      <c r="L673" s="16" t="s">
        <v>4269</v>
      </c>
      <c r="M673" s="16">
        <v>1999.0</v>
      </c>
      <c r="N673" s="18">
        <v>36217.0</v>
      </c>
      <c r="O673" s="18">
        <v>36217.0</v>
      </c>
      <c r="P673" s="16">
        <v>7375.0</v>
      </c>
      <c r="Q673" s="16">
        <v>7370.0</v>
      </c>
      <c r="R673" s="16">
        <v>21.0</v>
      </c>
      <c r="S673" s="4"/>
      <c r="T673" s="4"/>
      <c r="U673" s="4"/>
      <c r="V673" s="4"/>
      <c r="W673" s="4"/>
      <c r="X673" s="4"/>
      <c r="Y673" s="4"/>
    </row>
    <row r="674">
      <c r="A674" s="16" t="s">
        <v>4271</v>
      </c>
      <c r="B674" s="16">
        <v>1004571.0</v>
      </c>
      <c r="C674" s="8" t="s">
        <v>20</v>
      </c>
      <c r="D674" s="8" t="s">
        <v>4272</v>
      </c>
      <c r="E674" s="16" t="s">
        <v>4273</v>
      </c>
      <c r="F674" s="16">
        <v>1004571.0</v>
      </c>
      <c r="G674" s="16">
        <v>1835963.0</v>
      </c>
      <c r="H674" s="16">
        <v>1004571.0</v>
      </c>
      <c r="I674" s="16">
        <v>379395.0</v>
      </c>
      <c r="J674" s="16" t="s">
        <v>4274</v>
      </c>
      <c r="K674" s="16" t="s">
        <v>4275</v>
      </c>
      <c r="L674" s="16" t="s">
        <v>4274</v>
      </c>
      <c r="M674" s="16">
        <v>1996.0</v>
      </c>
      <c r="N674" s="18">
        <v>35102.0</v>
      </c>
      <c r="O674" s="18">
        <v>35102.0</v>
      </c>
      <c r="P674" s="16">
        <v>7359.0</v>
      </c>
      <c r="Q674" s="16">
        <v>6513.0</v>
      </c>
      <c r="R674" s="16">
        <v>11.5</v>
      </c>
      <c r="S674" s="4"/>
      <c r="T674" s="4"/>
      <c r="U674" s="4"/>
      <c r="V674" s="4"/>
      <c r="W674" s="4"/>
      <c r="X674" s="4"/>
      <c r="Y674" s="4"/>
    </row>
    <row r="675">
      <c r="A675" s="16" t="s">
        <v>4276</v>
      </c>
      <c r="B675" s="16">
        <v>1095388.0</v>
      </c>
      <c r="C675" s="8" t="s">
        <v>762</v>
      </c>
      <c r="D675" s="8" t="s">
        <v>4277</v>
      </c>
      <c r="E675" s="16" t="s">
        <v>4278</v>
      </c>
      <c r="F675" s="4"/>
      <c r="G675" s="4"/>
      <c r="H675" s="16">
        <v>1095388.0</v>
      </c>
      <c r="I675" s="16">
        <v>579062.0</v>
      </c>
      <c r="J675" s="16" t="s">
        <v>4279</v>
      </c>
      <c r="K675" s="16" t="s">
        <v>4280</v>
      </c>
      <c r="L675" s="16" t="s">
        <v>2459</v>
      </c>
      <c r="M675" s="16">
        <v>1999.0</v>
      </c>
      <c r="N675" s="18">
        <v>36496.0</v>
      </c>
      <c r="O675" s="18">
        <v>36496.0</v>
      </c>
      <c r="P675" s="16">
        <v>7372.0</v>
      </c>
      <c r="Q675" s="16">
        <v>7372.0</v>
      </c>
      <c r="R675" s="16">
        <v>12.0</v>
      </c>
      <c r="S675" s="4"/>
      <c r="T675" s="4"/>
      <c r="U675" s="4"/>
      <c r="V675" s="4"/>
      <c r="W675" s="4"/>
      <c r="X675" s="4"/>
      <c r="Y675" s="4"/>
    </row>
    <row r="676">
      <c r="A676" s="16" t="s">
        <v>4281</v>
      </c>
      <c r="B676" s="16">
        <v>929186.0</v>
      </c>
      <c r="C676" s="8" t="s">
        <v>20</v>
      </c>
      <c r="D676" s="8" t="s">
        <v>4282</v>
      </c>
      <c r="E676" s="16" t="s">
        <v>4283</v>
      </c>
      <c r="F676" s="16">
        <v>929186.0</v>
      </c>
      <c r="G676" s="4"/>
      <c r="H676" s="16">
        <v>929186.0</v>
      </c>
      <c r="I676" s="16">
        <v>320841.0</v>
      </c>
      <c r="J676" s="16" t="s">
        <v>4284</v>
      </c>
      <c r="K676" s="16" t="s">
        <v>4284</v>
      </c>
      <c r="L676" s="16" t="s">
        <v>4284</v>
      </c>
      <c r="M676" s="16">
        <v>2006.0</v>
      </c>
      <c r="N676" s="18">
        <v>39008.0</v>
      </c>
      <c r="O676" s="18">
        <v>39008.0</v>
      </c>
      <c r="P676" s="16">
        <v>6311.0</v>
      </c>
      <c r="Q676" s="16">
        <v>6331.0</v>
      </c>
      <c r="R676" s="16">
        <v>17.0</v>
      </c>
      <c r="S676" s="4"/>
      <c r="T676" s="4"/>
      <c r="U676" s="4"/>
      <c r="V676" s="4"/>
      <c r="W676" s="4"/>
      <c r="X676" s="4"/>
      <c r="Y676" s="4"/>
    </row>
    <row r="677">
      <c r="A677" s="16" t="s">
        <v>4285</v>
      </c>
      <c r="B677" s="16">
        <v>1189396.0</v>
      </c>
      <c r="C677" s="8" t="s">
        <v>20</v>
      </c>
      <c r="D677" s="8" t="s">
        <v>4286</v>
      </c>
      <c r="E677" s="16" t="s">
        <v>4287</v>
      </c>
      <c r="F677" s="16">
        <v>1189396.0</v>
      </c>
      <c r="G677" s="4"/>
      <c r="H677" s="16">
        <v>1189396.0</v>
      </c>
      <c r="I677" s="16">
        <v>834728.0</v>
      </c>
      <c r="J677" s="16" t="s">
        <v>4288</v>
      </c>
      <c r="K677" s="16" t="s">
        <v>4288</v>
      </c>
      <c r="L677" s="16" t="s">
        <v>4288</v>
      </c>
      <c r="M677" s="16">
        <v>2002.0</v>
      </c>
      <c r="N677" s="18">
        <v>35975.0</v>
      </c>
      <c r="O677" s="18">
        <v>35975.0</v>
      </c>
      <c r="P677" s="16">
        <v>6022.0</v>
      </c>
      <c r="Q677" s="16">
        <v>6020.0</v>
      </c>
      <c r="R677" s="16">
        <v>8.25</v>
      </c>
      <c r="S677" s="4"/>
      <c r="T677" s="4"/>
      <c r="U677" s="4"/>
      <c r="V677" s="4"/>
      <c r="W677" s="4"/>
      <c r="X677" s="4"/>
      <c r="Y677" s="4"/>
    </row>
    <row r="678">
      <c r="A678" s="16" t="s">
        <v>4289</v>
      </c>
      <c r="B678" s="16">
        <v>1477200.0</v>
      </c>
      <c r="C678" s="8" t="s">
        <v>762</v>
      </c>
      <c r="D678" s="8" t="s">
        <v>4290</v>
      </c>
      <c r="E678" s="16" t="s">
        <v>4291</v>
      </c>
      <c r="F678" s="16">
        <v>1477200.0</v>
      </c>
      <c r="G678" s="4"/>
      <c r="H678" s="16">
        <v>1477200.0</v>
      </c>
      <c r="I678" s="16">
        <v>773111.0</v>
      </c>
      <c r="J678" s="16" t="s">
        <v>4292</v>
      </c>
      <c r="K678" s="16" t="s">
        <v>4292</v>
      </c>
      <c r="L678" s="16" t="s">
        <v>4292</v>
      </c>
      <c r="M678" s="16">
        <v>2013.0</v>
      </c>
      <c r="N678" s="18">
        <v>41537.0</v>
      </c>
      <c r="O678" s="18">
        <v>41537.0</v>
      </c>
      <c r="P678" s="16">
        <v>7319.0</v>
      </c>
      <c r="Q678" s="16">
        <v>7370.0</v>
      </c>
      <c r="R678" s="16">
        <v>29.0</v>
      </c>
      <c r="S678" s="4"/>
      <c r="T678" s="4"/>
      <c r="U678" s="4"/>
      <c r="V678" s="4"/>
      <c r="W678" s="4"/>
      <c r="X678" s="4"/>
      <c r="Y678" s="4"/>
    </row>
    <row r="679">
      <c r="A679" s="16" t="s">
        <v>4293</v>
      </c>
      <c r="B679" s="16">
        <v>1375557.0</v>
      </c>
      <c r="C679" s="8" t="s">
        <v>762</v>
      </c>
      <c r="D679" s="8" t="s">
        <v>4294</v>
      </c>
      <c r="E679" s="16" t="s">
        <v>4295</v>
      </c>
      <c r="F679" s="16">
        <v>1375557.0</v>
      </c>
      <c r="G679" s="4"/>
      <c r="H679" s="17">
        <v>1.26678600013755E16</v>
      </c>
      <c r="I679" s="16">
        <v>401692.0</v>
      </c>
      <c r="J679" s="16" t="s">
        <v>4296</v>
      </c>
      <c r="K679" s="16" t="s">
        <v>4296</v>
      </c>
      <c r="L679" s="16" t="s">
        <v>4296</v>
      </c>
      <c r="M679" s="16">
        <v>2006.0</v>
      </c>
      <c r="N679" s="18">
        <v>39064.0</v>
      </c>
      <c r="O679" s="18">
        <v>39064.0</v>
      </c>
      <c r="P679" s="16">
        <v>7372.0</v>
      </c>
      <c r="Q679" s="16">
        <v>7372.0</v>
      </c>
      <c r="R679" s="16">
        <v>11.5</v>
      </c>
      <c r="S679" s="4"/>
      <c r="T679" s="4"/>
      <c r="U679" s="4"/>
      <c r="V679" s="4"/>
      <c r="W679" s="4"/>
      <c r="X679" s="4"/>
      <c r="Y679" s="4"/>
    </row>
    <row r="680">
      <c r="A680" s="16" t="s">
        <v>4297</v>
      </c>
      <c r="B680" s="16">
        <v>1061566.0</v>
      </c>
      <c r="C680" s="8" t="s">
        <v>20</v>
      </c>
      <c r="D680" s="8" t="s">
        <v>4298</v>
      </c>
      <c r="E680" s="16" t="s">
        <v>4299</v>
      </c>
      <c r="F680" s="16">
        <v>1061566.0</v>
      </c>
      <c r="G680" s="4"/>
      <c r="H680" s="17">
        <v>1.01558000010615E16</v>
      </c>
      <c r="I680" s="16">
        <v>270322.0</v>
      </c>
      <c r="J680" s="16" t="s">
        <v>4300</v>
      </c>
      <c r="K680" s="16" t="s">
        <v>4301</v>
      </c>
      <c r="L680" s="16" t="s">
        <v>4300</v>
      </c>
      <c r="M680" s="16">
        <v>1997.0</v>
      </c>
      <c r="N680" s="18">
        <v>35451.0</v>
      </c>
      <c r="O680" s="18">
        <v>35451.0</v>
      </c>
      <c r="P680" s="16">
        <v>7375.0</v>
      </c>
      <c r="Q680" s="16">
        <v>7370.0</v>
      </c>
      <c r="R680" s="16">
        <v>13.0</v>
      </c>
      <c r="S680" s="4"/>
      <c r="T680" s="4"/>
      <c r="U680" s="4"/>
      <c r="V680" s="4"/>
      <c r="W680" s="4"/>
      <c r="X680" s="4"/>
      <c r="Y680" s="4"/>
    </row>
    <row r="681">
      <c r="A681" s="16" t="s">
        <v>4302</v>
      </c>
      <c r="B681" s="16">
        <v>1283552.0</v>
      </c>
      <c r="C681" s="8" t="s">
        <v>20</v>
      </c>
      <c r="D681" s="8" t="s">
        <v>4303</v>
      </c>
      <c r="E681" s="16" t="s">
        <v>4304</v>
      </c>
      <c r="F681" s="16">
        <v>1283552.0</v>
      </c>
      <c r="G681" s="4"/>
      <c r="H681" s="16">
        <v>1283552.0</v>
      </c>
      <c r="I681" s="16">
        <v>468202.0</v>
      </c>
      <c r="J681" s="16" t="s">
        <v>4305</v>
      </c>
      <c r="K681" s="16" t="s">
        <v>4306</v>
      </c>
      <c r="L681" s="16" t="s">
        <v>4305</v>
      </c>
      <c r="M681" s="16">
        <v>2004.0</v>
      </c>
      <c r="N681" s="18">
        <v>38160.0</v>
      </c>
      <c r="O681" s="18">
        <v>38160.0</v>
      </c>
      <c r="P681" s="16">
        <v>7291.0</v>
      </c>
      <c r="Q681" s="16">
        <v>7200.0</v>
      </c>
      <c r="R681" s="16">
        <v>17.0</v>
      </c>
      <c r="S681" s="4"/>
      <c r="T681" s="4"/>
      <c r="U681" s="4"/>
      <c r="V681" s="4"/>
      <c r="W681" s="4"/>
      <c r="X681" s="4"/>
      <c r="Y681" s="4"/>
    </row>
    <row r="682">
      <c r="A682" s="16" t="s">
        <v>4307</v>
      </c>
      <c r="B682" s="16">
        <v>1013920.0</v>
      </c>
      <c r="C682" s="8" t="s">
        <v>20</v>
      </c>
      <c r="D682" s="8" t="s">
        <v>4308</v>
      </c>
      <c r="E682" s="4"/>
      <c r="F682" s="4"/>
      <c r="G682" s="4"/>
      <c r="H682" s="16">
        <v>1013920.0</v>
      </c>
      <c r="I682" s="16">
        <v>54531.0</v>
      </c>
      <c r="J682" s="16" t="s">
        <v>4309</v>
      </c>
      <c r="K682" s="4"/>
      <c r="L682" s="16" t="s">
        <v>4309</v>
      </c>
      <c r="M682" s="16">
        <v>1996.0</v>
      </c>
      <c r="N682" s="4"/>
      <c r="O682" s="4"/>
      <c r="P682" s="16">
        <v>7372.0</v>
      </c>
      <c r="Q682" s="4"/>
      <c r="R682" s="16">
        <v>8.0</v>
      </c>
      <c r="S682" s="4"/>
      <c r="T682" s="4"/>
      <c r="U682" s="4"/>
      <c r="V682" s="4"/>
      <c r="W682" s="4"/>
      <c r="X682" s="4"/>
      <c r="Y682" s="4"/>
    </row>
    <row r="683">
      <c r="A683" s="16" t="s">
        <v>4310</v>
      </c>
      <c r="B683" s="16">
        <v>873979.0</v>
      </c>
      <c r="C683" s="8" t="s">
        <v>20</v>
      </c>
      <c r="D683" s="8" t="s">
        <v>4311</v>
      </c>
      <c r="E683" s="16" t="s">
        <v>4312</v>
      </c>
      <c r="F683" s="16">
        <v>873979.0</v>
      </c>
      <c r="G683" s="4"/>
      <c r="H683" s="16">
        <v>873979.0</v>
      </c>
      <c r="I683" s="16">
        <v>879269.0</v>
      </c>
      <c r="J683" s="16" t="s">
        <v>4313</v>
      </c>
      <c r="K683" s="16" t="s">
        <v>4314</v>
      </c>
      <c r="L683" s="16" t="s">
        <v>4313</v>
      </c>
      <c r="M683" s="16">
        <v>1995.0</v>
      </c>
      <c r="N683" s="18">
        <v>34988.0</v>
      </c>
      <c r="O683" s="18">
        <v>34988.0</v>
      </c>
      <c r="P683" s="16">
        <v>8711.0</v>
      </c>
      <c r="Q683" s="16">
        <v>3661.0</v>
      </c>
      <c r="R683" s="16">
        <v>5.0</v>
      </c>
      <c r="S683" s="4"/>
      <c r="T683" s="4"/>
      <c r="U683" s="4"/>
      <c r="V683" s="4"/>
      <c r="W683" s="4"/>
      <c r="X683" s="4"/>
      <c r="Y683" s="4"/>
    </row>
    <row r="684">
      <c r="A684" s="16" t="s">
        <v>4315</v>
      </c>
      <c r="B684" s="16">
        <v>1145057.0</v>
      </c>
      <c r="C684" s="8" t="s">
        <v>762</v>
      </c>
      <c r="D684" s="8" t="s">
        <v>4316</v>
      </c>
      <c r="E684" s="16" t="s">
        <v>4317</v>
      </c>
      <c r="F684" s="16">
        <v>1145057.0</v>
      </c>
      <c r="G684" s="4"/>
      <c r="H684" s="16">
        <v>1145057.0</v>
      </c>
      <c r="I684" s="16" t="s">
        <v>4318</v>
      </c>
      <c r="J684" s="16" t="s">
        <v>4319</v>
      </c>
      <c r="K684" s="16" t="s">
        <v>4319</v>
      </c>
      <c r="L684" s="16" t="s">
        <v>4319</v>
      </c>
      <c r="M684" s="16">
        <v>2017.0</v>
      </c>
      <c r="N684" s="18">
        <v>43035.0</v>
      </c>
      <c r="O684" s="18">
        <v>43035.0</v>
      </c>
      <c r="P684" s="16">
        <v>7382.0</v>
      </c>
      <c r="Q684" s="16">
        <v>7371.0</v>
      </c>
      <c r="R684" s="16">
        <v>22.0</v>
      </c>
      <c r="S684" s="4"/>
      <c r="T684" s="4"/>
      <c r="U684" s="4"/>
      <c r="V684" s="4"/>
      <c r="W684" s="4"/>
      <c r="X684" s="4"/>
      <c r="Y684" s="4"/>
    </row>
    <row r="685">
      <c r="A685" s="16" t="s">
        <v>4320</v>
      </c>
      <c r="B685" s="16">
        <v>1084482.0</v>
      </c>
      <c r="C685" s="8" t="s">
        <v>20</v>
      </c>
      <c r="D685" s="8" t="s">
        <v>4321</v>
      </c>
      <c r="E685" s="16" t="s">
        <v>4322</v>
      </c>
      <c r="F685" s="16">
        <v>1084482.0</v>
      </c>
      <c r="G685" s="4"/>
      <c r="H685" s="16">
        <v>1084482.0</v>
      </c>
      <c r="I685" s="16" t="s">
        <v>4323</v>
      </c>
      <c r="J685" s="16" t="s">
        <v>4324</v>
      </c>
      <c r="K685" s="16" t="s">
        <v>4325</v>
      </c>
      <c r="L685" s="4"/>
      <c r="M685" s="16">
        <v>1999.0</v>
      </c>
      <c r="N685" s="18">
        <v>36340.0</v>
      </c>
      <c r="O685" s="18">
        <v>36340.0</v>
      </c>
      <c r="P685" s="16">
        <v>7375.0</v>
      </c>
      <c r="Q685" s="16">
        <v>7370.0</v>
      </c>
      <c r="R685" s="16">
        <v>10.0</v>
      </c>
      <c r="S685" s="4"/>
      <c r="T685" s="4"/>
      <c r="U685" s="4"/>
      <c r="V685" s="4"/>
      <c r="W685" s="4"/>
      <c r="X685" s="4"/>
      <c r="Y685" s="4"/>
    </row>
    <row r="686">
      <c r="A686" s="16" t="s">
        <v>4326</v>
      </c>
      <c r="B686" s="16">
        <v>1797768.0</v>
      </c>
      <c r="C686" s="8" t="s">
        <v>20</v>
      </c>
      <c r="D686" s="8" t="s">
        <v>4327</v>
      </c>
      <c r="E686" s="16" t="s">
        <v>4328</v>
      </c>
      <c r="F686" s="16">
        <v>1797768.0</v>
      </c>
      <c r="G686" s="4"/>
      <c r="H686" s="16">
        <v>1797768.0</v>
      </c>
      <c r="I686" s="16" t="s">
        <v>4329</v>
      </c>
      <c r="J686" s="16" t="s">
        <v>4330</v>
      </c>
      <c r="K686" s="16" t="s">
        <v>4330</v>
      </c>
      <c r="L686" s="16" t="s">
        <v>4330</v>
      </c>
      <c r="M686" s="16">
        <v>2020.0</v>
      </c>
      <c r="N686" s="18">
        <v>44168.0</v>
      </c>
      <c r="O686" s="18">
        <v>44168.0</v>
      </c>
      <c r="P686" s="16">
        <v>8731.0</v>
      </c>
      <c r="Q686" s="16">
        <v>2836.0</v>
      </c>
      <c r="R686" s="16">
        <v>20.0</v>
      </c>
      <c r="S686" s="4"/>
      <c r="T686" s="4"/>
      <c r="U686" s="4"/>
      <c r="V686" s="4"/>
      <c r="W686" s="4"/>
      <c r="X686" s="4"/>
      <c r="Y686" s="4"/>
    </row>
    <row r="687">
      <c r="A687" s="16" t="s">
        <v>4331</v>
      </c>
      <c r="B687" s="16">
        <v>1850079.0</v>
      </c>
      <c r="C687" s="8" t="s">
        <v>20</v>
      </c>
      <c r="D687" s="8" t="s">
        <v>4332</v>
      </c>
      <c r="E687" s="4"/>
      <c r="F687" s="4"/>
      <c r="G687" s="4"/>
      <c r="H687" s="16">
        <v>1850079.0</v>
      </c>
      <c r="I687" s="16">
        <v>192003.0</v>
      </c>
      <c r="J687" s="16" t="s">
        <v>4333</v>
      </c>
      <c r="K687" s="4"/>
      <c r="L687" s="16" t="s">
        <v>4333</v>
      </c>
      <c r="M687" s="16">
        <v>2021.0</v>
      </c>
      <c r="N687" s="4"/>
      <c r="O687" s="4"/>
      <c r="P687" s="16">
        <v>8731.0</v>
      </c>
      <c r="Q687" s="4"/>
      <c r="R687" s="16">
        <v>16.0</v>
      </c>
      <c r="S687" s="4"/>
      <c r="T687" s="4"/>
      <c r="U687" s="4"/>
      <c r="V687" s="4"/>
      <c r="W687" s="4"/>
      <c r="X687" s="4"/>
      <c r="Y687" s="4"/>
    </row>
    <row r="688">
      <c r="A688" s="16" t="s">
        <v>4334</v>
      </c>
      <c r="B688" s="16">
        <v>1036584.0</v>
      </c>
      <c r="C688" s="8" t="s">
        <v>762</v>
      </c>
      <c r="D688" s="8" t="s">
        <v>4335</v>
      </c>
      <c r="E688" s="16" t="s">
        <v>4336</v>
      </c>
      <c r="F688" s="16">
        <v>1036584.0</v>
      </c>
      <c r="G688" s="4"/>
      <c r="H688" s="16">
        <v>1036584.0</v>
      </c>
      <c r="I688" s="16">
        <v>439321.0</v>
      </c>
      <c r="J688" s="16" t="s">
        <v>4337</v>
      </c>
      <c r="K688" s="16" t="s">
        <v>4337</v>
      </c>
      <c r="L688" s="16" t="s">
        <v>4337</v>
      </c>
      <c r="M688" s="16">
        <v>1999.0</v>
      </c>
      <c r="N688" s="18">
        <v>36362.0</v>
      </c>
      <c r="O688" s="18">
        <v>36362.0</v>
      </c>
      <c r="P688" s="16">
        <v>7375.0</v>
      </c>
      <c r="Q688" s="16">
        <v>7370.0</v>
      </c>
      <c r="R688" s="16">
        <v>14.0</v>
      </c>
      <c r="S688" s="4"/>
      <c r="T688" s="4"/>
      <c r="U688" s="4"/>
      <c r="V688" s="4"/>
      <c r="W688" s="4"/>
      <c r="X688" s="4"/>
      <c r="Y688" s="4"/>
    </row>
    <row r="689">
      <c r="A689" s="16" t="s">
        <v>4338</v>
      </c>
      <c r="B689" s="16">
        <v>1020620.0</v>
      </c>
      <c r="C689" s="8" t="s">
        <v>20</v>
      </c>
      <c r="D689" s="8" t="s">
        <v>4339</v>
      </c>
      <c r="E689" s="4"/>
      <c r="F689" s="4"/>
      <c r="G689" s="16">
        <v>1527636.0</v>
      </c>
      <c r="H689" s="16">
        <v>1020620.0</v>
      </c>
      <c r="I689" s="16">
        <v>45919.0</v>
      </c>
      <c r="J689" s="16" t="s">
        <v>4340</v>
      </c>
      <c r="K689" s="4"/>
      <c r="L689" s="16" t="s">
        <v>4340</v>
      </c>
      <c r="M689" s="16">
        <v>1997.0</v>
      </c>
      <c r="N689" s="4"/>
      <c r="O689" s="4"/>
      <c r="P689" s="16">
        <v>7375.0</v>
      </c>
      <c r="Q689" s="4"/>
      <c r="R689" s="16">
        <v>10.5</v>
      </c>
      <c r="S689" s="4"/>
      <c r="T689" s="4"/>
      <c r="U689" s="4"/>
      <c r="V689" s="4"/>
      <c r="W689" s="4"/>
      <c r="X689" s="4"/>
      <c r="Y689" s="4"/>
    </row>
    <row r="690">
      <c r="A690" s="16" t="s">
        <v>4341</v>
      </c>
      <c r="B690" s="16">
        <v>1462694.0</v>
      </c>
      <c r="C690" s="8" t="s">
        <v>20</v>
      </c>
      <c r="D690" s="8" t="s">
        <v>4342</v>
      </c>
      <c r="E690" s="16" t="s">
        <v>4343</v>
      </c>
      <c r="F690" s="16">
        <v>1462694.0</v>
      </c>
      <c r="G690" s="16">
        <v>712771.0</v>
      </c>
      <c r="H690" s="17">
        <v>7.12771000146269E15</v>
      </c>
      <c r="I690" s="16" t="s">
        <v>4344</v>
      </c>
      <c r="J690" s="16" t="s">
        <v>4345</v>
      </c>
      <c r="K690" s="16" t="s">
        <v>4346</v>
      </c>
      <c r="L690" s="16" t="s">
        <v>4345</v>
      </c>
      <c r="M690" s="16">
        <v>2013.0</v>
      </c>
      <c r="N690" s="18">
        <v>41317.0</v>
      </c>
      <c r="O690" s="18">
        <v>41317.0</v>
      </c>
      <c r="P690" s="16">
        <v>6022.0</v>
      </c>
      <c r="Q690" s="16">
        <v>6020.0</v>
      </c>
      <c r="R690" s="16">
        <v>28.0</v>
      </c>
      <c r="S690" s="4"/>
      <c r="T690" s="4"/>
      <c r="U690" s="4"/>
      <c r="V690" s="4"/>
      <c r="W690" s="4"/>
      <c r="X690" s="4"/>
      <c r="Y690" s="4"/>
    </row>
    <row r="691">
      <c r="A691" s="16" t="s">
        <v>4347</v>
      </c>
      <c r="B691" s="16">
        <v>1224133.0</v>
      </c>
      <c r="C691" s="8" t="s">
        <v>762</v>
      </c>
      <c r="D691" s="8" t="s">
        <v>4348</v>
      </c>
      <c r="E691" s="16" t="s">
        <v>4349</v>
      </c>
      <c r="F691" s="16">
        <v>1224133.0</v>
      </c>
      <c r="G691" s="16">
        <v>1224133.0</v>
      </c>
      <c r="H691" s="16">
        <v>1224133.0</v>
      </c>
      <c r="I691" s="16" t="s">
        <v>4350</v>
      </c>
      <c r="J691" s="16" t="s">
        <v>4351</v>
      </c>
      <c r="K691" s="16" t="s">
        <v>4351</v>
      </c>
      <c r="L691" s="16" t="s">
        <v>4351</v>
      </c>
      <c r="M691" s="16">
        <v>2004.0</v>
      </c>
      <c r="N691" s="18">
        <v>38077.0</v>
      </c>
      <c r="O691" s="18">
        <v>38077.0</v>
      </c>
      <c r="P691" s="16">
        <v>7389.0</v>
      </c>
      <c r="Q691" s="16">
        <v>7389.0</v>
      </c>
      <c r="R691" s="16">
        <v>6.5</v>
      </c>
      <c r="S691" s="4"/>
      <c r="T691" s="4"/>
      <c r="U691" s="4"/>
      <c r="V691" s="4"/>
      <c r="W691" s="4"/>
      <c r="X691" s="4"/>
      <c r="Y691" s="4"/>
    </row>
    <row r="692">
      <c r="A692" s="16" t="s">
        <v>4352</v>
      </c>
      <c r="B692" s="16">
        <v>1728117.0</v>
      </c>
      <c r="C692" s="8" t="s">
        <v>20</v>
      </c>
      <c r="D692" s="8" t="s">
        <v>4353</v>
      </c>
      <c r="E692" s="16" t="s">
        <v>4354</v>
      </c>
      <c r="F692" s="16">
        <v>1728117.0</v>
      </c>
      <c r="G692" s="16">
        <v>1728117.0</v>
      </c>
      <c r="H692" s="16">
        <v>1728117.0</v>
      </c>
      <c r="I692" s="16" t="s">
        <v>4355</v>
      </c>
      <c r="J692" s="16" t="s">
        <v>4356</v>
      </c>
      <c r="K692" s="16" t="s">
        <v>4356</v>
      </c>
      <c r="L692" s="16" t="s">
        <v>4356</v>
      </c>
      <c r="M692" s="16">
        <v>2019.0</v>
      </c>
      <c r="N692" s="18">
        <v>43504.0</v>
      </c>
      <c r="O692" s="18">
        <v>43504.0</v>
      </c>
      <c r="P692" s="16">
        <v>8731.0</v>
      </c>
      <c r="Q692" s="16">
        <v>2836.0</v>
      </c>
      <c r="R692" s="16">
        <v>16.0</v>
      </c>
      <c r="S692" s="4"/>
      <c r="T692" s="4"/>
      <c r="U692" s="4"/>
      <c r="V692" s="4"/>
      <c r="W692" s="4"/>
      <c r="X692" s="4"/>
      <c r="Y692" s="4"/>
    </row>
    <row r="693">
      <c r="A693" s="16" t="s">
        <v>4357</v>
      </c>
      <c r="B693" s="16">
        <v>1078292.0</v>
      </c>
      <c r="C693" s="8" t="s">
        <v>20</v>
      </c>
      <c r="D693" s="8" t="s">
        <v>4358</v>
      </c>
      <c r="E693" s="16" t="s">
        <v>4359</v>
      </c>
      <c r="F693" s="16">
        <v>1078292.0</v>
      </c>
      <c r="G693" s="4"/>
      <c r="H693" s="16">
        <v>1078292.0</v>
      </c>
      <c r="I693" s="16">
        <v>344067.0</v>
      </c>
      <c r="J693" s="16" t="s">
        <v>4360</v>
      </c>
      <c r="K693" s="16" t="s">
        <v>4361</v>
      </c>
      <c r="L693" s="16" t="s">
        <v>4360</v>
      </c>
      <c r="M693" s="16">
        <v>1999.0</v>
      </c>
      <c r="N693" s="18">
        <v>36284.0</v>
      </c>
      <c r="O693" s="18">
        <v>36284.0</v>
      </c>
      <c r="P693" s="16">
        <v>7375.0</v>
      </c>
      <c r="Q693" s="16">
        <v>7370.0</v>
      </c>
      <c r="R693" s="16">
        <v>25.0</v>
      </c>
      <c r="S693" s="4"/>
      <c r="T693" s="4"/>
      <c r="U693" s="4"/>
      <c r="V693" s="4"/>
      <c r="W693" s="4"/>
      <c r="X693" s="4"/>
      <c r="Y693" s="4"/>
    </row>
    <row r="694">
      <c r="A694" s="16" t="s">
        <v>4362</v>
      </c>
      <c r="B694" s="16">
        <v>1645842.0</v>
      </c>
      <c r="C694" s="8" t="s">
        <v>20</v>
      </c>
      <c r="D694" s="8" t="s">
        <v>4363</v>
      </c>
      <c r="E694" s="16" t="s">
        <v>4364</v>
      </c>
      <c r="F694" s="16">
        <v>1645842.0</v>
      </c>
      <c r="G694" s="4"/>
      <c r="H694" s="16">
        <v>1645842.0</v>
      </c>
      <c r="I694" s="16" t="s">
        <v>4365</v>
      </c>
      <c r="J694" s="16" t="s">
        <v>4366</v>
      </c>
      <c r="K694" s="16" t="s">
        <v>4366</v>
      </c>
      <c r="L694" s="16" t="s">
        <v>4366</v>
      </c>
      <c r="M694" s="16">
        <v>2021.0</v>
      </c>
      <c r="N694" s="18">
        <v>44308.0</v>
      </c>
      <c r="O694" s="18">
        <v>44308.0</v>
      </c>
      <c r="P694" s="16">
        <v>8731.0</v>
      </c>
      <c r="Q694" s="16">
        <v>3679.0</v>
      </c>
      <c r="R694" s="16">
        <v>31.0</v>
      </c>
      <c r="S694" s="4"/>
      <c r="T694" s="4"/>
      <c r="U694" s="4"/>
      <c r="V694" s="4"/>
      <c r="W694" s="4"/>
      <c r="X694" s="4"/>
      <c r="Y694" s="4"/>
    </row>
    <row r="695">
      <c r="A695" s="16" t="s">
        <v>4367</v>
      </c>
      <c r="B695" s="16">
        <v>1037417.0</v>
      </c>
      <c r="C695" s="8" t="s">
        <v>20</v>
      </c>
      <c r="D695" s="8" t="s">
        <v>4368</v>
      </c>
      <c r="E695" s="4"/>
      <c r="F695" s="4"/>
      <c r="G695" s="4"/>
      <c r="H695" s="16">
        <v>1037417.0</v>
      </c>
      <c r="I695" s="16">
        <v>871942.0</v>
      </c>
      <c r="J695" s="16" t="s">
        <v>4369</v>
      </c>
      <c r="K695" s="4"/>
      <c r="L695" s="16" t="s">
        <v>4369</v>
      </c>
      <c r="M695" s="16">
        <v>1997.0</v>
      </c>
      <c r="N695" s="4"/>
      <c r="O695" s="4"/>
      <c r="P695" s="16">
        <v>7373.0</v>
      </c>
      <c r="Q695" s="4"/>
      <c r="R695" s="16">
        <v>5.0</v>
      </c>
      <c r="S695" s="4"/>
      <c r="T695" s="4"/>
      <c r="U695" s="4"/>
      <c r="V695" s="4"/>
      <c r="W695" s="4"/>
      <c r="X695" s="4"/>
      <c r="Y695" s="4"/>
    </row>
    <row r="696">
      <c r="A696" s="16" t="s">
        <v>4370</v>
      </c>
      <c r="B696" s="16">
        <v>1353283.0</v>
      </c>
      <c r="C696" s="8" t="s">
        <v>762</v>
      </c>
      <c r="D696" s="8" t="s">
        <v>4371</v>
      </c>
      <c r="E696" s="16" t="s">
        <v>4372</v>
      </c>
      <c r="F696" s="16">
        <v>1353283.0</v>
      </c>
      <c r="G696" s="4"/>
      <c r="H696" s="16">
        <v>1353283.0</v>
      </c>
      <c r="I696" s="16">
        <v>848637.0</v>
      </c>
      <c r="J696" s="4"/>
      <c r="K696" s="16" t="s">
        <v>4373</v>
      </c>
      <c r="L696" s="4"/>
      <c r="M696" s="16">
        <v>2012.0</v>
      </c>
      <c r="N696" s="18">
        <v>41018.0</v>
      </c>
      <c r="O696" s="18">
        <v>41018.0</v>
      </c>
      <c r="P696" s="16">
        <v>7372.0</v>
      </c>
      <c r="Q696" s="16">
        <v>7372.0</v>
      </c>
      <c r="R696" s="16">
        <v>17.0</v>
      </c>
      <c r="S696" s="4"/>
      <c r="T696" s="4"/>
      <c r="U696" s="4"/>
      <c r="V696" s="4"/>
      <c r="W696" s="4"/>
      <c r="X696" s="4"/>
      <c r="Y696" s="4"/>
    </row>
    <row r="697">
      <c r="A697" s="16" t="s">
        <v>4374</v>
      </c>
      <c r="B697" s="16">
        <v>1448301.0</v>
      </c>
      <c r="C697" s="8" t="s">
        <v>20</v>
      </c>
      <c r="D697" s="8" t="s">
        <v>4375</v>
      </c>
      <c r="E697" s="4"/>
      <c r="F697" s="4"/>
      <c r="G697" s="4"/>
      <c r="H697" s="17">
        <v>1.44830100014496E36</v>
      </c>
      <c r="I697" s="16">
        <v>32838.0</v>
      </c>
      <c r="J697" s="16" t="s">
        <v>4376</v>
      </c>
      <c r="K697" s="4"/>
      <c r="L697" s="16" t="s">
        <v>4376</v>
      </c>
      <c r="M697" s="16">
        <v>2011.0</v>
      </c>
      <c r="N697" s="4"/>
      <c r="O697" s="4"/>
      <c r="P697" s="16">
        <v>6036.0</v>
      </c>
      <c r="Q697" s="4"/>
      <c r="R697" s="16">
        <v>10.0</v>
      </c>
      <c r="S697" s="4"/>
      <c r="T697" s="4"/>
      <c r="U697" s="4"/>
      <c r="V697" s="4"/>
      <c r="W697" s="4"/>
      <c r="X697" s="4"/>
      <c r="Y697" s="4"/>
    </row>
    <row r="698">
      <c r="A698" s="16" t="s">
        <v>4377</v>
      </c>
      <c r="B698" s="16">
        <v>1647639.0</v>
      </c>
      <c r="C698" s="8" t="s">
        <v>749</v>
      </c>
      <c r="D698" s="8" t="s">
        <v>4378</v>
      </c>
      <c r="E698" s="16" t="s">
        <v>4379</v>
      </c>
      <c r="F698" s="16">
        <v>1647639.0</v>
      </c>
      <c r="G698" s="16">
        <v>1647639.0</v>
      </c>
      <c r="H698" s="16">
        <v>1647639.0</v>
      </c>
      <c r="I698" s="16" t="s">
        <v>4380</v>
      </c>
      <c r="J698" s="16" t="s">
        <v>4381</v>
      </c>
      <c r="K698" s="16" t="s">
        <v>4381</v>
      </c>
      <c r="L698" s="16" t="s">
        <v>4381</v>
      </c>
      <c r="M698" s="16">
        <v>2020.0</v>
      </c>
      <c r="N698" s="18">
        <v>44181.0</v>
      </c>
      <c r="O698" s="18">
        <v>44181.0</v>
      </c>
      <c r="P698" s="16">
        <v>6141.0</v>
      </c>
      <c r="Q698" s="16">
        <v>6141.0</v>
      </c>
      <c r="R698" s="16">
        <v>20.0</v>
      </c>
      <c r="S698" s="4"/>
      <c r="T698" s="4"/>
      <c r="U698" s="4"/>
      <c r="V698" s="4"/>
      <c r="W698" s="4"/>
      <c r="X698" s="4"/>
      <c r="Y698" s="4"/>
    </row>
    <row r="699">
      <c r="A699" s="16" t="s">
        <v>4382</v>
      </c>
      <c r="B699" s="16">
        <v>1458962.0</v>
      </c>
      <c r="C699" s="8" t="s">
        <v>20</v>
      </c>
      <c r="D699" s="8" t="s">
        <v>4383</v>
      </c>
      <c r="E699" s="16" t="s">
        <v>4384</v>
      </c>
      <c r="F699" s="16">
        <v>1458962.0</v>
      </c>
      <c r="G699" s="16">
        <v>2027265.0</v>
      </c>
      <c r="H699" s="16">
        <v>1458962.0</v>
      </c>
      <c r="I699" s="16" t="s">
        <v>4385</v>
      </c>
      <c r="J699" s="16" t="s">
        <v>4386</v>
      </c>
      <c r="K699" s="16" t="s">
        <v>4387</v>
      </c>
      <c r="L699" s="16" t="s">
        <v>4386</v>
      </c>
      <c r="M699" s="16">
        <v>2015.0</v>
      </c>
      <c r="N699" s="18">
        <v>42174.0</v>
      </c>
      <c r="O699" s="18">
        <v>42174.0</v>
      </c>
      <c r="P699" s="16">
        <v>7372.0</v>
      </c>
      <c r="Q699" s="16">
        <v>7370.0</v>
      </c>
      <c r="R699" s="16">
        <v>14.0</v>
      </c>
      <c r="S699" s="4"/>
      <c r="T699" s="4"/>
      <c r="U699" s="4"/>
      <c r="V699" s="4"/>
      <c r="W699" s="4"/>
      <c r="X699" s="4"/>
      <c r="Y699" s="4"/>
    </row>
    <row r="700">
      <c r="A700" s="16" t="s">
        <v>4388</v>
      </c>
      <c r="B700" s="16">
        <v>907562.0</v>
      </c>
      <c r="C700" s="8" t="s">
        <v>20</v>
      </c>
      <c r="D700" s="8" t="s">
        <v>4389</v>
      </c>
      <c r="E700" s="16" t="s">
        <v>4390</v>
      </c>
      <c r="F700" s="16">
        <v>907562.0</v>
      </c>
      <c r="G700" s="4"/>
      <c r="H700" s="16">
        <v>907562.0</v>
      </c>
      <c r="I700" s="16" t="s">
        <v>4391</v>
      </c>
      <c r="J700" s="16" t="s">
        <v>4392</v>
      </c>
      <c r="K700" s="16" t="s">
        <v>4392</v>
      </c>
      <c r="L700" s="16" t="s">
        <v>4392</v>
      </c>
      <c r="M700" s="16">
        <v>2000.0</v>
      </c>
      <c r="N700" s="18">
        <v>36753.0</v>
      </c>
      <c r="O700" s="18">
        <v>36753.0</v>
      </c>
      <c r="P700" s="16">
        <v>8731.0</v>
      </c>
      <c r="Q700" s="16">
        <v>2836.0</v>
      </c>
      <c r="R700" s="16">
        <v>15.0</v>
      </c>
      <c r="S700" s="4"/>
      <c r="T700" s="4"/>
      <c r="U700" s="4"/>
      <c r="V700" s="4"/>
      <c r="W700" s="4"/>
      <c r="X700" s="4"/>
      <c r="Y700" s="4"/>
    </row>
    <row r="701">
      <c r="A701" s="16" t="s">
        <v>4393</v>
      </c>
      <c r="B701" s="16">
        <v>1011632.0</v>
      </c>
      <c r="C701" s="8" t="s">
        <v>762</v>
      </c>
      <c r="D701" s="8" t="s">
        <v>4394</v>
      </c>
      <c r="E701" s="16" t="s">
        <v>4395</v>
      </c>
      <c r="F701" s="16">
        <v>1011632.0</v>
      </c>
      <c r="G701" s="4"/>
      <c r="H701" s="16">
        <v>1011632.0</v>
      </c>
      <c r="I701" s="16">
        <v>714006.0</v>
      </c>
      <c r="J701" s="16" t="s">
        <v>4396</v>
      </c>
      <c r="K701" s="16" t="s">
        <v>4397</v>
      </c>
      <c r="L701" s="16" t="s">
        <v>4396</v>
      </c>
      <c r="M701" s="16">
        <v>1997.0</v>
      </c>
      <c r="N701" s="18">
        <v>35613.0</v>
      </c>
      <c r="O701" s="18">
        <v>35613.0</v>
      </c>
      <c r="P701" s="16">
        <v>7379.0</v>
      </c>
      <c r="Q701" s="16">
        <v>7372.0</v>
      </c>
      <c r="R701" s="16">
        <v>16.0</v>
      </c>
      <c r="S701" s="4"/>
      <c r="T701" s="4"/>
      <c r="U701" s="4"/>
      <c r="V701" s="4"/>
      <c r="W701" s="4"/>
      <c r="X701" s="4"/>
      <c r="Y701" s="4"/>
    </row>
    <row r="702">
      <c r="A702" s="16" t="s">
        <v>4398</v>
      </c>
      <c r="B702" s="16">
        <v>1861560.0</v>
      </c>
      <c r="C702" s="8" t="s">
        <v>20</v>
      </c>
      <c r="D702" s="8" t="s">
        <v>4399</v>
      </c>
      <c r="E702" s="16" t="s">
        <v>4400</v>
      </c>
      <c r="F702" s="16">
        <v>1861560.0</v>
      </c>
      <c r="G702" s="16">
        <v>1861560.0</v>
      </c>
      <c r="H702" s="16">
        <v>1861560.0</v>
      </c>
      <c r="I702" s="16">
        <v>670703.0</v>
      </c>
      <c r="J702" s="16" t="s">
        <v>4401</v>
      </c>
      <c r="K702" s="16" t="s">
        <v>4401</v>
      </c>
      <c r="L702" s="16" t="s">
        <v>4401</v>
      </c>
      <c r="M702" s="16">
        <v>2021.0</v>
      </c>
      <c r="N702" s="18">
        <v>44406.0</v>
      </c>
      <c r="O702" s="18">
        <v>44406.0</v>
      </c>
      <c r="P702" s="16">
        <v>8731.0</v>
      </c>
      <c r="Q702" s="16">
        <v>2836.0</v>
      </c>
      <c r="R702" s="16">
        <v>17.0</v>
      </c>
      <c r="S702" s="4"/>
      <c r="T702" s="4"/>
      <c r="U702" s="4"/>
      <c r="V702" s="4"/>
      <c r="W702" s="4"/>
      <c r="X702" s="4"/>
      <c r="Y702" s="4"/>
    </row>
    <row r="703">
      <c r="A703" s="16" t="s">
        <v>4402</v>
      </c>
      <c r="B703" s="16">
        <v>1117106.0</v>
      </c>
      <c r="C703" s="8" t="s">
        <v>762</v>
      </c>
      <c r="D703" s="8" t="s">
        <v>4403</v>
      </c>
      <c r="E703" s="16" t="s">
        <v>4404</v>
      </c>
      <c r="F703" s="16">
        <v>1117106.0</v>
      </c>
      <c r="G703" s="4"/>
      <c r="H703" s="16">
        <v>1117106.0</v>
      </c>
      <c r="I703" s="16" t="s">
        <v>4405</v>
      </c>
      <c r="J703" s="16" t="s">
        <v>4406</v>
      </c>
      <c r="K703" s="16" t="s">
        <v>4406</v>
      </c>
      <c r="L703" s="16" t="s">
        <v>4406</v>
      </c>
      <c r="M703" s="16">
        <v>2007.0</v>
      </c>
      <c r="N703" s="18">
        <v>39436.0</v>
      </c>
      <c r="O703" s="18">
        <v>39436.0</v>
      </c>
      <c r="P703" s="16">
        <v>7372.0</v>
      </c>
      <c r="Q703" s="16">
        <v>7373.0</v>
      </c>
      <c r="R703" s="16">
        <v>26.0</v>
      </c>
      <c r="S703" s="4"/>
      <c r="T703" s="4"/>
      <c r="U703" s="4"/>
      <c r="V703" s="4"/>
      <c r="W703" s="4"/>
      <c r="X703" s="4"/>
      <c r="Y703" s="4"/>
    </row>
    <row r="704">
      <c r="A704" s="16" t="s">
        <v>4407</v>
      </c>
      <c r="B704" s="16">
        <v>1089907.0</v>
      </c>
      <c r="C704" s="8" t="s">
        <v>762</v>
      </c>
      <c r="D704" s="8" t="s">
        <v>4408</v>
      </c>
      <c r="E704" s="4"/>
      <c r="F704" s="4"/>
      <c r="G704" s="4"/>
      <c r="H704" s="16">
        <v>1089907.0</v>
      </c>
      <c r="I704" s="16">
        <v>483600.0</v>
      </c>
      <c r="J704" s="16" t="s">
        <v>4409</v>
      </c>
      <c r="K704" s="4"/>
      <c r="L704" s="16" t="s">
        <v>4409</v>
      </c>
      <c r="M704" s="16">
        <v>1999.0</v>
      </c>
      <c r="N704" s="4"/>
      <c r="O704" s="4"/>
      <c r="P704" s="16">
        <v>7372.0</v>
      </c>
      <c r="Q704" s="4"/>
      <c r="R704" s="16">
        <v>15.0</v>
      </c>
      <c r="S704" s="4"/>
      <c r="T704" s="4"/>
      <c r="U704" s="4"/>
      <c r="V704" s="4"/>
      <c r="W704" s="4"/>
      <c r="X704" s="4"/>
      <c r="Y704" s="4"/>
    </row>
    <row r="705">
      <c r="A705" s="16" t="s">
        <v>4410</v>
      </c>
      <c r="B705" s="16">
        <v>1061384.0</v>
      </c>
      <c r="C705" s="8" t="s">
        <v>20</v>
      </c>
      <c r="D705" s="8" t="s">
        <v>4411</v>
      </c>
      <c r="E705" s="16" t="s">
        <v>4412</v>
      </c>
      <c r="F705" s="16">
        <v>1061384.0</v>
      </c>
      <c r="G705" s="4"/>
      <c r="H705" s="16">
        <v>1061384.0</v>
      </c>
      <c r="I705" s="16" t="s">
        <v>4413</v>
      </c>
      <c r="J705" s="16" t="s">
        <v>4414</v>
      </c>
      <c r="K705" s="16" t="s">
        <v>4415</v>
      </c>
      <c r="L705" s="16" t="s">
        <v>4414</v>
      </c>
      <c r="M705" s="16">
        <v>1999.0</v>
      </c>
      <c r="N705" s="18">
        <v>36377.0</v>
      </c>
      <c r="O705" s="18">
        <v>36377.0</v>
      </c>
      <c r="P705" s="16">
        <v>7372.0</v>
      </c>
      <c r="Q705" s="16">
        <v>3663.0</v>
      </c>
      <c r="R705" s="16">
        <v>18.0</v>
      </c>
      <c r="S705" s="4"/>
      <c r="T705" s="4"/>
      <c r="U705" s="4"/>
      <c r="V705" s="4"/>
      <c r="W705" s="4"/>
      <c r="X705" s="4"/>
      <c r="Y705" s="4"/>
    </row>
    <row r="706">
      <c r="A706" s="16" t="s">
        <v>4416</v>
      </c>
      <c r="B706" s="16">
        <v>945434.0</v>
      </c>
      <c r="C706" s="8" t="s">
        <v>20</v>
      </c>
      <c r="D706" s="8" t="s">
        <v>4417</v>
      </c>
      <c r="E706" s="4"/>
      <c r="F706" s="4"/>
      <c r="G706" s="4"/>
      <c r="H706" s="16">
        <v>945434.0</v>
      </c>
      <c r="I706" s="16">
        <v>55936.0</v>
      </c>
      <c r="J706" s="4"/>
      <c r="K706" s="4"/>
      <c r="L706" s="4"/>
      <c r="M706" s="16">
        <v>1995.0</v>
      </c>
      <c r="N706" s="4"/>
      <c r="O706" s="4"/>
      <c r="P706" s="16">
        <v>6021.0</v>
      </c>
      <c r="Q706" s="4"/>
      <c r="R706" s="16">
        <v>10.0</v>
      </c>
      <c r="S706" s="4"/>
      <c r="T706" s="4"/>
      <c r="U706" s="4"/>
      <c r="V706" s="4"/>
      <c r="W706" s="4"/>
      <c r="X706" s="4"/>
      <c r="Y706" s="4"/>
    </row>
    <row r="707">
      <c r="A707" s="16" t="s">
        <v>4418</v>
      </c>
      <c r="B707" s="16">
        <v>1088316.0</v>
      </c>
      <c r="C707" s="8" t="s">
        <v>20</v>
      </c>
      <c r="D707" s="8" t="s">
        <v>4419</v>
      </c>
      <c r="E707" s="16" t="s">
        <v>4420</v>
      </c>
      <c r="F707" s="16">
        <v>1088316.0</v>
      </c>
      <c r="G707" s="4"/>
      <c r="H707" s="16">
        <v>1088316.0</v>
      </c>
      <c r="I707" s="16">
        <v>123335.0</v>
      </c>
      <c r="J707" s="16" t="s">
        <v>4421</v>
      </c>
      <c r="K707" s="16" t="s">
        <v>4421</v>
      </c>
      <c r="L707" s="16" t="s">
        <v>4421</v>
      </c>
      <c r="M707" s="16">
        <v>2000.0</v>
      </c>
      <c r="N707" s="4"/>
      <c r="O707" s="4"/>
      <c r="P707" s="16">
        <v>7389.0</v>
      </c>
      <c r="Q707" s="16">
        <v>7370.0</v>
      </c>
      <c r="R707" s="16">
        <v>5.0</v>
      </c>
      <c r="S707" s="4"/>
      <c r="T707" s="4"/>
      <c r="U707" s="4"/>
      <c r="V707" s="4"/>
      <c r="W707" s="4"/>
      <c r="X707" s="4"/>
      <c r="Y707" s="4"/>
    </row>
    <row r="708">
      <c r="A708" s="16" t="s">
        <v>4422</v>
      </c>
      <c r="B708" s="16">
        <v>1718512.0</v>
      </c>
      <c r="C708" s="8" t="s">
        <v>20</v>
      </c>
      <c r="D708" s="8" t="s">
        <v>4423</v>
      </c>
      <c r="E708" s="16" t="s">
        <v>4424</v>
      </c>
      <c r="F708" s="16">
        <v>1718512.0</v>
      </c>
      <c r="G708" s="16">
        <v>1718512.0</v>
      </c>
      <c r="H708" s="16">
        <v>1718512.0</v>
      </c>
      <c r="I708" s="16" t="s">
        <v>4425</v>
      </c>
      <c r="J708" s="16" t="s">
        <v>4426</v>
      </c>
      <c r="K708" s="16" t="s">
        <v>4426</v>
      </c>
      <c r="L708" s="16" t="s">
        <v>4426</v>
      </c>
      <c r="M708" s="16">
        <v>2018.0</v>
      </c>
      <c r="N708" s="18">
        <v>43125.0</v>
      </c>
      <c r="O708" s="18">
        <v>43125.0</v>
      </c>
      <c r="P708" s="16">
        <v>8711.0</v>
      </c>
      <c r="Q708" s="16">
        <v>3560.0</v>
      </c>
      <c r="R708" s="16">
        <v>19.0</v>
      </c>
      <c r="S708" s="4"/>
      <c r="T708" s="4"/>
      <c r="U708" s="4"/>
      <c r="V708" s="4"/>
      <c r="W708" s="4"/>
      <c r="X708" s="4"/>
      <c r="Y708" s="4"/>
    </row>
    <row r="709">
      <c r="A709" s="16" t="s">
        <v>4427</v>
      </c>
      <c r="B709" s="16">
        <v>1261333.0</v>
      </c>
      <c r="C709" s="8" t="s">
        <v>762</v>
      </c>
      <c r="D709" s="8" t="s">
        <v>4428</v>
      </c>
      <c r="E709" s="16" t="s">
        <v>4429</v>
      </c>
      <c r="F709" s="16">
        <v>1261333.0</v>
      </c>
      <c r="G709" s="16">
        <v>1261333.0</v>
      </c>
      <c r="H709" s="16">
        <v>1261333.0</v>
      </c>
      <c r="I709" s="16">
        <v>256163.0</v>
      </c>
      <c r="J709" s="16" t="s">
        <v>4430</v>
      </c>
      <c r="K709" s="16" t="s">
        <v>4430</v>
      </c>
      <c r="L709" s="16" t="s">
        <v>4430</v>
      </c>
      <c r="M709" s="16">
        <v>2018.0</v>
      </c>
      <c r="N709" s="18">
        <v>43217.0</v>
      </c>
      <c r="O709" s="18">
        <v>43217.0</v>
      </c>
      <c r="P709" s="16">
        <v>7372.0</v>
      </c>
      <c r="Q709" s="16">
        <v>7370.0</v>
      </c>
      <c r="R709" s="16">
        <v>29.0</v>
      </c>
      <c r="S709" s="4"/>
      <c r="T709" s="4"/>
      <c r="U709" s="4"/>
      <c r="V709" s="4"/>
      <c r="W709" s="4"/>
      <c r="X709" s="4"/>
      <c r="Y709" s="4"/>
    </row>
    <row r="710">
      <c r="A710" s="16" t="s">
        <v>4431</v>
      </c>
      <c r="B710" s="16">
        <v>1019180.0</v>
      </c>
      <c r="C710" s="8" t="s">
        <v>20</v>
      </c>
      <c r="D710" s="8" t="s">
        <v>4432</v>
      </c>
      <c r="E710" s="16" t="s">
        <v>4433</v>
      </c>
      <c r="F710" s="16">
        <v>1019180.0</v>
      </c>
      <c r="G710" s="4"/>
      <c r="H710" s="17">
        <v>7.96655000101918E15</v>
      </c>
      <c r="I710" s="16" t="s">
        <v>4434</v>
      </c>
      <c r="J710" s="16" t="s">
        <v>4435</v>
      </c>
      <c r="K710" s="16" t="s">
        <v>4435</v>
      </c>
      <c r="L710" s="16" t="s">
        <v>4435</v>
      </c>
      <c r="M710" s="16">
        <v>1999.0</v>
      </c>
      <c r="N710" s="18">
        <v>36335.0</v>
      </c>
      <c r="O710" s="18">
        <v>36335.0</v>
      </c>
      <c r="P710" s="16">
        <v>7372.0</v>
      </c>
      <c r="Q710" s="16">
        <v>7372.0</v>
      </c>
      <c r="R710" s="16">
        <v>15.0</v>
      </c>
      <c r="S710" s="4"/>
      <c r="T710" s="4"/>
      <c r="U710" s="4"/>
      <c r="V710" s="4"/>
      <c r="W710" s="4"/>
      <c r="X710" s="4"/>
      <c r="Y710" s="4"/>
    </row>
    <row r="711">
      <c r="A711" s="16" t="s">
        <v>4436</v>
      </c>
      <c r="B711" s="16">
        <v>1544522.0</v>
      </c>
      <c r="C711" s="8" t="s">
        <v>762</v>
      </c>
      <c r="D711" s="8" t="s">
        <v>4437</v>
      </c>
      <c r="E711" s="16" t="s">
        <v>4438</v>
      </c>
      <c r="F711" s="16">
        <v>1544522.0</v>
      </c>
      <c r="G711" s="16">
        <v>1544522.0</v>
      </c>
      <c r="H711" s="16">
        <v>1544522.0</v>
      </c>
      <c r="I711" s="16">
        <v>358054.0</v>
      </c>
      <c r="J711" s="16" t="s">
        <v>4439</v>
      </c>
      <c r="K711" s="16" t="s">
        <v>4439</v>
      </c>
      <c r="L711" s="16" t="s">
        <v>4439</v>
      </c>
      <c r="M711" s="16">
        <v>2021.0</v>
      </c>
      <c r="N711" s="18">
        <v>44461.0</v>
      </c>
      <c r="O711" s="18">
        <v>44461.0</v>
      </c>
      <c r="P711" s="16">
        <v>7372.0</v>
      </c>
      <c r="Q711" s="16">
        <v>7370.0</v>
      </c>
      <c r="R711" s="16">
        <v>36.0</v>
      </c>
      <c r="S711" s="4"/>
      <c r="T711" s="4"/>
      <c r="U711" s="4"/>
      <c r="V711" s="4"/>
      <c r="W711" s="4"/>
      <c r="X711" s="4"/>
      <c r="Y711" s="4"/>
    </row>
    <row r="712">
      <c r="A712" s="16" t="s">
        <v>4440</v>
      </c>
      <c r="B712" s="16">
        <v>1360683.0</v>
      </c>
      <c r="C712" s="8" t="s">
        <v>20</v>
      </c>
      <c r="D712" s="8" t="s">
        <v>4441</v>
      </c>
      <c r="E712" s="16" t="s">
        <v>4442</v>
      </c>
      <c r="F712" s="16">
        <v>1360683.0</v>
      </c>
      <c r="G712" s="4"/>
      <c r="H712" s="16">
        <v>1360683.0</v>
      </c>
      <c r="I712" s="16" t="s">
        <v>4443</v>
      </c>
      <c r="J712" s="16" t="s">
        <v>4444</v>
      </c>
      <c r="K712" s="16" t="s">
        <v>4444</v>
      </c>
      <c r="L712" s="16" t="s">
        <v>4444</v>
      </c>
      <c r="M712" s="16">
        <v>2014.0</v>
      </c>
      <c r="N712" s="18">
        <v>41682.0</v>
      </c>
      <c r="O712" s="18">
        <v>41682.0</v>
      </c>
      <c r="P712" s="16">
        <v>6022.0</v>
      </c>
      <c r="Q712" s="16">
        <v>6020.0</v>
      </c>
      <c r="R712" s="16">
        <v>13.0</v>
      </c>
      <c r="S712" s="4"/>
      <c r="T712" s="4"/>
      <c r="U712" s="4"/>
      <c r="V712" s="4"/>
      <c r="W712" s="4"/>
      <c r="X712" s="4"/>
      <c r="Y712" s="4"/>
    </row>
    <row r="713">
      <c r="A713" s="16" t="s">
        <v>4445</v>
      </c>
      <c r="B713" s="16">
        <v>946665.0</v>
      </c>
      <c r="C713" s="8" t="s">
        <v>20</v>
      </c>
      <c r="D713" s="8" t="s">
        <v>4446</v>
      </c>
      <c r="E713" s="16" t="s">
        <v>4447</v>
      </c>
      <c r="F713" s="16">
        <v>946665.0</v>
      </c>
      <c r="G713" s="4"/>
      <c r="H713" s="16">
        <v>946665.0</v>
      </c>
      <c r="I713" s="16">
        <v>927914.0</v>
      </c>
      <c r="J713" s="16" t="s">
        <v>4448</v>
      </c>
      <c r="K713" s="16" t="s">
        <v>4448</v>
      </c>
      <c r="L713" s="16" t="s">
        <v>4448</v>
      </c>
      <c r="M713" s="16">
        <v>1995.0</v>
      </c>
      <c r="N713" s="18">
        <v>35012.0</v>
      </c>
      <c r="O713" s="18">
        <v>35012.0</v>
      </c>
      <c r="P713" s="16">
        <v>7372.0</v>
      </c>
      <c r="Q713" s="16">
        <v>7372.0</v>
      </c>
      <c r="R713" s="16">
        <v>16.0</v>
      </c>
      <c r="S713" s="4"/>
      <c r="T713" s="4"/>
      <c r="U713" s="4"/>
      <c r="V713" s="4"/>
      <c r="W713" s="4"/>
      <c r="X713" s="4"/>
      <c r="Y713" s="4"/>
    </row>
    <row r="714">
      <c r="A714" s="16" t="s">
        <v>4449</v>
      </c>
      <c r="B714" s="16">
        <v>1488813.0</v>
      </c>
      <c r="C714" s="8" t="s">
        <v>20</v>
      </c>
      <c r="D714" s="8" t="s">
        <v>4450</v>
      </c>
      <c r="E714" s="16" t="s">
        <v>4451</v>
      </c>
      <c r="F714" s="16">
        <v>1488813.0</v>
      </c>
      <c r="G714" s="4"/>
      <c r="H714" s="16">
        <v>1488813.0</v>
      </c>
      <c r="I714" s="16" t="s">
        <v>4452</v>
      </c>
      <c r="J714" s="16" t="s">
        <v>4453</v>
      </c>
      <c r="K714" s="16" t="s">
        <v>4454</v>
      </c>
      <c r="L714" s="16" t="s">
        <v>4453</v>
      </c>
      <c r="M714" s="16">
        <v>2013.0</v>
      </c>
      <c r="N714" s="18">
        <v>40960.0</v>
      </c>
      <c r="O714" s="18">
        <v>40960.0</v>
      </c>
      <c r="P714" s="16">
        <v>6022.0</v>
      </c>
      <c r="Q714" s="16">
        <v>6020.0</v>
      </c>
      <c r="R714" s="16">
        <v>16.75</v>
      </c>
      <c r="S714" s="4"/>
      <c r="T714" s="4"/>
      <c r="U714" s="4"/>
      <c r="V714" s="4"/>
      <c r="W714" s="4"/>
      <c r="X714" s="4"/>
      <c r="Y714" s="4"/>
    </row>
    <row r="715">
      <c r="A715" s="16" t="s">
        <v>4455</v>
      </c>
      <c r="B715" s="16">
        <v>1171218.0</v>
      </c>
      <c r="C715" s="8" t="s">
        <v>20</v>
      </c>
      <c r="D715" s="8" t="s">
        <v>4456</v>
      </c>
      <c r="E715" s="16" t="s">
        <v>4457</v>
      </c>
      <c r="F715" s="16">
        <v>1171218.0</v>
      </c>
      <c r="G715" s="4"/>
      <c r="H715" s="16">
        <v>1171218.0</v>
      </c>
      <c r="I715" s="16">
        <v>661696.0</v>
      </c>
      <c r="J715" s="16" t="s">
        <v>4458</v>
      </c>
      <c r="K715" s="16" t="s">
        <v>4458</v>
      </c>
      <c r="L715" s="16" t="s">
        <v>4458</v>
      </c>
      <c r="M715" s="16">
        <v>2005.0</v>
      </c>
      <c r="N715" s="4"/>
      <c r="O715" s="4"/>
      <c r="P715" s="16">
        <v>6331.0</v>
      </c>
      <c r="Q715" s="16">
        <v>6331.0</v>
      </c>
      <c r="R715" s="16">
        <v>12.0</v>
      </c>
      <c r="S715" s="4"/>
      <c r="T715" s="4"/>
      <c r="U715" s="4"/>
      <c r="V715" s="4"/>
      <c r="W715" s="4"/>
      <c r="X715" s="4"/>
      <c r="Y715" s="4"/>
    </row>
    <row r="716">
      <c r="A716" s="16" t="s">
        <v>4459</v>
      </c>
      <c r="B716" s="16">
        <v>1004939.0</v>
      </c>
      <c r="C716" s="8" t="s">
        <v>20</v>
      </c>
      <c r="D716" s="8" t="s">
        <v>4460</v>
      </c>
      <c r="E716" s="16" t="s">
        <v>4461</v>
      </c>
      <c r="F716" s="16">
        <v>1004939.0</v>
      </c>
      <c r="G716" s="16">
        <v>1692819.0</v>
      </c>
      <c r="H716" s="16">
        <v>1004939.0</v>
      </c>
      <c r="I716" s="16" t="s">
        <v>4462</v>
      </c>
      <c r="J716" s="16" t="s">
        <v>4463</v>
      </c>
      <c r="K716" s="16" t="s">
        <v>4464</v>
      </c>
      <c r="L716" s="16" t="s">
        <v>4463</v>
      </c>
      <c r="M716" s="16">
        <v>1996.0</v>
      </c>
      <c r="N716" s="18">
        <v>35135.0</v>
      </c>
      <c r="O716" s="18">
        <v>35135.0</v>
      </c>
      <c r="P716" s="16">
        <v>7373.0</v>
      </c>
      <c r="Q716" s="16">
        <v>5045.0</v>
      </c>
      <c r="R716" s="16">
        <v>10.0</v>
      </c>
      <c r="S716" s="4"/>
      <c r="T716" s="4"/>
      <c r="U716" s="4"/>
      <c r="V716" s="4"/>
      <c r="W716" s="4"/>
      <c r="X716" s="4"/>
      <c r="Y716" s="4"/>
    </row>
    <row r="717">
      <c r="A717" s="16" t="s">
        <v>4465</v>
      </c>
      <c r="B717" s="16">
        <v>1799332.0</v>
      </c>
      <c r="C717" s="8" t="s">
        <v>749</v>
      </c>
      <c r="D717" s="8" t="s">
        <v>4466</v>
      </c>
      <c r="E717" s="16" t="s">
        <v>4467</v>
      </c>
      <c r="F717" s="16">
        <v>1799332.0</v>
      </c>
      <c r="G717" s="16">
        <v>1799332.0</v>
      </c>
      <c r="H717" s="16">
        <v>1799332.0</v>
      </c>
      <c r="I717" s="16" t="s">
        <v>4468</v>
      </c>
      <c r="J717" s="16" t="s">
        <v>4469</v>
      </c>
      <c r="K717" s="16" t="s">
        <v>4469</v>
      </c>
      <c r="L717" s="16" t="s">
        <v>4469</v>
      </c>
      <c r="M717" s="16">
        <v>2020.0</v>
      </c>
      <c r="N717" s="18">
        <v>43956.0</v>
      </c>
      <c r="O717" s="18">
        <v>43956.0</v>
      </c>
      <c r="P717" s="16">
        <v>7371.0</v>
      </c>
      <c r="Q717" s="16">
        <v>7370.0</v>
      </c>
      <c r="R717" s="16">
        <v>8.5</v>
      </c>
      <c r="S717" s="4"/>
      <c r="T717" s="4"/>
      <c r="U717" s="4"/>
      <c r="V717" s="4"/>
      <c r="W717" s="4"/>
      <c r="X717" s="4"/>
      <c r="Y717" s="4"/>
    </row>
    <row r="718">
      <c r="A718" s="16" t="s">
        <v>4470</v>
      </c>
      <c r="B718" s="16">
        <v>1144354.0</v>
      </c>
      <c r="C718" s="8" t="s">
        <v>749</v>
      </c>
      <c r="D718" s="8" t="s">
        <v>4471</v>
      </c>
      <c r="E718" s="16" t="s">
        <v>4472</v>
      </c>
      <c r="F718" s="16">
        <v>1144354.0</v>
      </c>
      <c r="G718" s="4"/>
      <c r="H718" s="16">
        <v>1144354.0</v>
      </c>
      <c r="I718" s="16" t="s">
        <v>4473</v>
      </c>
      <c r="J718" s="16" t="s">
        <v>4474</v>
      </c>
      <c r="K718" s="16" t="s">
        <v>4474</v>
      </c>
      <c r="L718" s="16" t="s">
        <v>4474</v>
      </c>
      <c r="M718" s="16">
        <v>2005.0</v>
      </c>
      <c r="N718" s="18">
        <v>38575.0</v>
      </c>
      <c r="O718" s="18">
        <v>38575.0</v>
      </c>
      <c r="P718" s="16">
        <v>7374.0</v>
      </c>
      <c r="Q718" s="16">
        <v>6099.0</v>
      </c>
      <c r="R718" s="16">
        <v>18.0</v>
      </c>
      <c r="S718" s="4"/>
      <c r="T718" s="4"/>
      <c r="U718" s="4"/>
      <c r="V718" s="4"/>
      <c r="W718" s="4"/>
      <c r="X718" s="4"/>
      <c r="Y718" s="4"/>
    </row>
    <row r="719">
      <c r="A719" s="16" t="s">
        <v>4475</v>
      </c>
      <c r="B719" s="16">
        <v>1020616.0</v>
      </c>
      <c r="C719" s="8" t="s">
        <v>20</v>
      </c>
      <c r="D719" s="8" t="s">
        <v>4476</v>
      </c>
      <c r="E719" s="4"/>
      <c r="F719" s="4"/>
      <c r="G719" s="4"/>
      <c r="H719" s="16">
        <v>1020616.0</v>
      </c>
      <c r="I719" s="16" t="s">
        <v>4477</v>
      </c>
      <c r="J719" s="16" t="s">
        <v>4478</v>
      </c>
      <c r="K719" s="4"/>
      <c r="L719" s="16" t="s">
        <v>4478</v>
      </c>
      <c r="M719" s="16">
        <v>1996.0</v>
      </c>
      <c r="N719" s="4"/>
      <c r="O719" s="4"/>
      <c r="P719" s="16">
        <v>7374.0</v>
      </c>
      <c r="Q719" s="4"/>
      <c r="R719" s="16">
        <v>17.0</v>
      </c>
      <c r="S719" s="4"/>
      <c r="T719" s="4"/>
      <c r="U719" s="4"/>
      <c r="V719" s="4"/>
      <c r="W719" s="4"/>
      <c r="X719" s="4"/>
      <c r="Y719" s="4"/>
    </row>
    <row r="720">
      <c r="A720" s="16" t="s">
        <v>4479</v>
      </c>
      <c r="B720" s="16">
        <v>1050025.0</v>
      </c>
      <c r="C720" s="8" t="s">
        <v>20</v>
      </c>
      <c r="D720" s="8" t="s">
        <v>4480</v>
      </c>
      <c r="E720" s="16" t="s">
        <v>4481</v>
      </c>
      <c r="F720" s="16">
        <v>1050025.0</v>
      </c>
      <c r="G720" s="4"/>
      <c r="H720" s="16">
        <v>1050025.0</v>
      </c>
      <c r="I720" s="16" t="s">
        <v>4482</v>
      </c>
      <c r="J720" s="16" t="s">
        <v>4483</v>
      </c>
      <c r="K720" s="16" t="s">
        <v>4483</v>
      </c>
      <c r="L720" s="16" t="s">
        <v>4483</v>
      </c>
      <c r="M720" s="16">
        <v>1998.0</v>
      </c>
      <c r="N720" s="18">
        <v>35901.0</v>
      </c>
      <c r="O720" s="18">
        <v>35901.0</v>
      </c>
      <c r="P720" s="16">
        <v>7373.0</v>
      </c>
      <c r="Q720" s="16">
        <v>7370.0</v>
      </c>
      <c r="R720" s="16">
        <v>13.0</v>
      </c>
      <c r="S720" s="4"/>
      <c r="T720" s="4"/>
      <c r="U720" s="4"/>
      <c r="V720" s="4"/>
      <c r="W720" s="4"/>
      <c r="X720" s="4"/>
      <c r="Y720" s="4"/>
    </row>
    <row r="721">
      <c r="A721" s="16" t="s">
        <v>4484</v>
      </c>
      <c r="B721" s="16">
        <v>1731831.0</v>
      </c>
      <c r="C721" s="8" t="s">
        <v>20</v>
      </c>
      <c r="D721" s="8" t="s">
        <v>4485</v>
      </c>
      <c r="E721" s="16" t="s">
        <v>4486</v>
      </c>
      <c r="F721" s="16">
        <v>1731831.0</v>
      </c>
      <c r="G721" s="4"/>
      <c r="H721" s="16">
        <v>1731831.0</v>
      </c>
      <c r="I721" s="16" t="s">
        <v>4487</v>
      </c>
      <c r="J721" s="16" t="s">
        <v>4488</v>
      </c>
      <c r="K721" s="16" t="s">
        <v>4489</v>
      </c>
      <c r="L721" s="16" t="s">
        <v>4488</v>
      </c>
      <c r="M721" s="16">
        <v>2018.0</v>
      </c>
      <c r="N721" s="18">
        <v>43271.0</v>
      </c>
      <c r="O721" s="18">
        <v>43271.0</v>
      </c>
      <c r="P721" s="16">
        <v>8731.0</v>
      </c>
      <c r="Q721" s="16">
        <v>2836.0</v>
      </c>
      <c r="R721" s="16">
        <v>17.0</v>
      </c>
      <c r="S721" s="4"/>
      <c r="T721" s="4"/>
      <c r="U721" s="4"/>
      <c r="V721" s="4"/>
      <c r="W721" s="4"/>
      <c r="X721" s="4"/>
      <c r="Y721" s="4"/>
    </row>
    <row r="722">
      <c r="A722" s="16" t="s">
        <v>4490</v>
      </c>
      <c r="B722" s="16">
        <v>1026380.0</v>
      </c>
      <c r="C722" s="8" t="s">
        <v>762</v>
      </c>
      <c r="D722" s="8" t="s">
        <v>4491</v>
      </c>
      <c r="E722" s="16" t="s">
        <v>4492</v>
      </c>
      <c r="F722" s="16">
        <v>1026380.0</v>
      </c>
      <c r="G722" s="4"/>
      <c r="H722" s="16">
        <v>1026380.0</v>
      </c>
      <c r="I722" s="16" t="s">
        <v>4493</v>
      </c>
      <c r="J722" s="16" t="s">
        <v>4494</v>
      </c>
      <c r="K722" s="16" t="s">
        <v>4494</v>
      </c>
      <c r="L722" s="16" t="s">
        <v>4494</v>
      </c>
      <c r="M722" s="16">
        <v>2000.0</v>
      </c>
      <c r="N722" s="18">
        <v>36741.0</v>
      </c>
      <c r="O722" s="18">
        <v>36741.0</v>
      </c>
      <c r="P722" s="16">
        <v>7372.0</v>
      </c>
      <c r="Q722" s="16">
        <v>7372.0</v>
      </c>
      <c r="R722" s="16">
        <v>21.0</v>
      </c>
      <c r="S722" s="4"/>
      <c r="T722" s="4"/>
      <c r="U722" s="4"/>
      <c r="V722" s="4"/>
      <c r="W722" s="4"/>
      <c r="X722" s="4"/>
      <c r="Y722" s="4"/>
    </row>
    <row r="723">
      <c r="A723" s="16" t="s">
        <v>4495</v>
      </c>
      <c r="B723" s="16">
        <v>1538263.0</v>
      </c>
      <c r="C723" s="8" t="s">
        <v>20</v>
      </c>
      <c r="D723" s="8" t="s">
        <v>4450</v>
      </c>
      <c r="E723" s="16" t="s">
        <v>4496</v>
      </c>
      <c r="F723" s="16">
        <v>1538263.0</v>
      </c>
      <c r="G723" s="4"/>
      <c r="H723" s="16">
        <v>1538263.0</v>
      </c>
      <c r="I723" s="16">
        <v>437872.0</v>
      </c>
      <c r="J723" s="4"/>
      <c r="K723" s="16" t="s">
        <v>4497</v>
      </c>
      <c r="L723" s="4"/>
      <c r="M723" s="16">
        <v>2012.0</v>
      </c>
      <c r="N723" s="18">
        <v>41101.0</v>
      </c>
      <c r="O723" s="18">
        <v>41101.0</v>
      </c>
      <c r="P723" s="16">
        <v>6035.0</v>
      </c>
      <c r="Q723" s="16">
        <v>6020.0</v>
      </c>
      <c r="R723" s="16">
        <v>10.0</v>
      </c>
      <c r="S723" s="4"/>
      <c r="T723" s="4"/>
      <c r="U723" s="4"/>
      <c r="V723" s="4"/>
      <c r="W723" s="4"/>
      <c r="X723" s="4"/>
      <c r="Y723" s="4"/>
    </row>
    <row r="724">
      <c r="A724" s="16" t="s">
        <v>4498</v>
      </c>
      <c r="B724" s="16">
        <v>949702.0</v>
      </c>
      <c r="C724" s="8" t="s">
        <v>20</v>
      </c>
      <c r="D724" s="8" t="s">
        <v>4499</v>
      </c>
      <c r="E724" s="16" t="s">
        <v>4500</v>
      </c>
      <c r="F724" s="16">
        <v>949702.0</v>
      </c>
      <c r="G724" s="4"/>
      <c r="H724" s="16">
        <v>949702.0</v>
      </c>
      <c r="I724" s="16">
        <v>778304.0</v>
      </c>
      <c r="J724" s="16" t="s">
        <v>4501</v>
      </c>
      <c r="K724" s="16" t="s">
        <v>4502</v>
      </c>
      <c r="L724" s="16">
        <v>6702.0</v>
      </c>
      <c r="M724" s="16">
        <v>1995.0</v>
      </c>
      <c r="N724" s="18">
        <v>35009.0</v>
      </c>
      <c r="O724" s="18">
        <v>35009.0</v>
      </c>
      <c r="P724" s="16">
        <v>7373.0</v>
      </c>
      <c r="Q724" s="16">
        <v>3674.0</v>
      </c>
      <c r="R724" s="16">
        <v>14.0</v>
      </c>
      <c r="S724" s="4"/>
      <c r="T724" s="4"/>
      <c r="U724" s="4"/>
      <c r="V724" s="4"/>
      <c r="W724" s="4"/>
      <c r="X724" s="4"/>
      <c r="Y724" s="4"/>
    </row>
    <row r="725">
      <c r="A725" s="16" t="s">
        <v>4503</v>
      </c>
      <c r="B725" s="16">
        <v>1163932.0</v>
      </c>
      <c r="C725" s="8" t="s">
        <v>20</v>
      </c>
      <c r="D725" s="8" t="s">
        <v>4504</v>
      </c>
      <c r="E725" s="16" t="s">
        <v>4505</v>
      </c>
      <c r="F725" s="16">
        <v>1163932.0</v>
      </c>
      <c r="G725" s="4"/>
      <c r="H725" s="16">
        <v>1163932.0</v>
      </c>
      <c r="I725" s="16" t="s">
        <v>4506</v>
      </c>
      <c r="J725" s="16" t="s">
        <v>4507</v>
      </c>
      <c r="K725" s="16" t="s">
        <v>4508</v>
      </c>
      <c r="L725" s="4"/>
      <c r="M725" s="16">
        <v>2011.0</v>
      </c>
      <c r="N725" s="18">
        <v>40688.0</v>
      </c>
      <c r="O725" s="18">
        <v>40688.0</v>
      </c>
      <c r="P725" s="16">
        <v>7372.0</v>
      </c>
      <c r="Q725" s="16">
        <v>7372.0</v>
      </c>
      <c r="R725" s="16">
        <v>15.0</v>
      </c>
      <c r="S725" s="4"/>
      <c r="T725" s="4"/>
      <c r="U725" s="4"/>
      <c r="V725" s="4"/>
      <c r="W725" s="4"/>
      <c r="X725" s="4"/>
      <c r="Y725" s="4"/>
    </row>
    <row r="726">
      <c r="A726" s="16" t="s">
        <v>4509</v>
      </c>
      <c r="B726" s="16">
        <v>1730984.0</v>
      </c>
      <c r="C726" s="8" t="s">
        <v>20</v>
      </c>
      <c r="D726" s="8" t="s">
        <v>4450</v>
      </c>
      <c r="E726" s="16" t="s">
        <v>4510</v>
      </c>
      <c r="F726" s="16">
        <v>1730984.0</v>
      </c>
      <c r="G726" s="16">
        <v>1730984.0</v>
      </c>
      <c r="H726" s="16">
        <v>1730984.0</v>
      </c>
      <c r="I726" s="16" t="s">
        <v>4511</v>
      </c>
      <c r="J726" s="16" t="s">
        <v>4512</v>
      </c>
      <c r="K726" s="16" t="s">
        <v>4512</v>
      </c>
      <c r="L726" s="16" t="s">
        <v>4512</v>
      </c>
      <c r="M726" s="16">
        <v>2018.0</v>
      </c>
      <c r="N726" s="4"/>
      <c r="O726" s="4"/>
      <c r="P726" s="16">
        <v>6021.0</v>
      </c>
      <c r="Q726" s="16">
        <v>6020.0</v>
      </c>
      <c r="R726" s="16">
        <v>22.0</v>
      </c>
      <c r="S726" s="4"/>
      <c r="T726" s="4"/>
      <c r="U726" s="4"/>
      <c r="V726" s="4"/>
      <c r="W726" s="4"/>
      <c r="X726" s="4"/>
      <c r="Y726" s="4"/>
    </row>
    <row r="727">
      <c r="A727" s="16" t="s">
        <v>4513</v>
      </c>
      <c r="B727" s="16">
        <v>1701478.0</v>
      </c>
      <c r="C727" s="8" t="s">
        <v>20</v>
      </c>
      <c r="D727" s="8" t="s">
        <v>4514</v>
      </c>
      <c r="E727" s="4"/>
      <c r="F727" s="4"/>
      <c r="G727" s="16">
        <v>1701478.0</v>
      </c>
      <c r="H727" s="16">
        <v>1701478.0</v>
      </c>
      <c r="I727" s="16" t="s">
        <v>4515</v>
      </c>
      <c r="J727" s="16" t="s">
        <v>4516</v>
      </c>
      <c r="K727" s="4"/>
      <c r="L727" s="16" t="s">
        <v>4516</v>
      </c>
      <c r="M727" s="16">
        <v>2023.0</v>
      </c>
      <c r="N727" s="4"/>
      <c r="O727" s="4"/>
      <c r="P727" s="16">
        <v>8731.0</v>
      </c>
      <c r="Q727" s="4"/>
      <c r="R727" s="16">
        <v>5.0</v>
      </c>
      <c r="S727" s="4"/>
      <c r="T727" s="4"/>
      <c r="U727" s="4"/>
      <c r="V727" s="4"/>
      <c r="W727" s="4"/>
      <c r="X727" s="4"/>
      <c r="Y727" s="4"/>
    </row>
    <row r="728">
      <c r="A728" s="16" t="s">
        <v>4517</v>
      </c>
      <c r="B728" s="16">
        <v>1099531.0</v>
      </c>
      <c r="C728" s="8" t="s">
        <v>20</v>
      </c>
      <c r="D728" s="8" t="s">
        <v>4518</v>
      </c>
      <c r="E728" s="16" t="s">
        <v>4519</v>
      </c>
      <c r="F728" s="16">
        <v>1099531.0</v>
      </c>
      <c r="G728" s="4"/>
      <c r="H728" s="16">
        <v>1099531.0</v>
      </c>
      <c r="I728" s="16" t="s">
        <v>4520</v>
      </c>
      <c r="J728" s="16" t="s">
        <v>4521</v>
      </c>
      <c r="K728" s="16" t="s">
        <v>4522</v>
      </c>
      <c r="L728" s="16" t="s">
        <v>4521</v>
      </c>
      <c r="M728" s="16">
        <v>2000.0</v>
      </c>
      <c r="N728" s="18">
        <v>36566.0</v>
      </c>
      <c r="O728" s="18">
        <v>36566.0</v>
      </c>
      <c r="P728" s="16">
        <v>7372.0</v>
      </c>
      <c r="Q728" s="16">
        <v>7372.0</v>
      </c>
      <c r="R728" s="16">
        <v>12.0</v>
      </c>
      <c r="S728" s="4"/>
      <c r="T728" s="4"/>
      <c r="U728" s="4"/>
      <c r="V728" s="4"/>
      <c r="W728" s="4"/>
      <c r="X728" s="4"/>
      <c r="Y728" s="4"/>
    </row>
    <row r="729">
      <c r="A729" s="16" t="s">
        <v>4523</v>
      </c>
      <c r="B729" s="16">
        <v>916073.0</v>
      </c>
      <c r="C729" s="8" t="s">
        <v>20</v>
      </c>
      <c r="D729" s="8" t="s">
        <v>4524</v>
      </c>
      <c r="E729" s="4"/>
      <c r="F729" s="4"/>
      <c r="G729" s="4"/>
      <c r="H729" s="16">
        <v>916073.0</v>
      </c>
      <c r="I729" s="16">
        <v>11630.0</v>
      </c>
      <c r="J729" s="16" t="s">
        <v>4525</v>
      </c>
      <c r="K729" s="4"/>
      <c r="L729" s="16" t="s">
        <v>4525</v>
      </c>
      <c r="M729" s="16">
        <v>1994.0</v>
      </c>
      <c r="N729" s="4"/>
      <c r="O729" s="4"/>
      <c r="P729" s="16">
        <v>7373.0</v>
      </c>
      <c r="Q729" s="4"/>
      <c r="R729" s="16">
        <v>13.0</v>
      </c>
      <c r="S729" s="4"/>
      <c r="T729" s="4"/>
      <c r="U729" s="4"/>
      <c r="V729" s="4"/>
      <c r="W729" s="4"/>
      <c r="X729" s="4"/>
      <c r="Y729" s="4"/>
    </row>
    <row r="730">
      <c r="A730" s="16" t="s">
        <v>4526</v>
      </c>
      <c r="B730" s="16">
        <v>1119744.0</v>
      </c>
      <c r="C730" s="8" t="s">
        <v>20</v>
      </c>
      <c r="D730" s="8" t="s">
        <v>4527</v>
      </c>
      <c r="E730" s="16" t="s">
        <v>4528</v>
      </c>
      <c r="F730" s="16">
        <v>1119744.0</v>
      </c>
      <c r="G730" s="4"/>
      <c r="H730" s="16">
        <v>1119744.0</v>
      </c>
      <c r="I730" s="16" t="s">
        <v>4529</v>
      </c>
      <c r="J730" s="16" t="s">
        <v>4530</v>
      </c>
      <c r="K730" s="16" t="s">
        <v>4531</v>
      </c>
      <c r="L730" s="16" t="s">
        <v>4530</v>
      </c>
      <c r="M730" s="16">
        <v>2000.0</v>
      </c>
      <c r="N730" s="18">
        <v>36788.0</v>
      </c>
      <c r="O730" s="18">
        <v>36788.0</v>
      </c>
      <c r="P730" s="16">
        <v>7372.0</v>
      </c>
      <c r="Q730" s="16">
        <v>7372.0</v>
      </c>
      <c r="R730" s="16">
        <v>8.0</v>
      </c>
      <c r="S730" s="4"/>
      <c r="T730" s="4"/>
      <c r="U730" s="4"/>
      <c r="V730" s="4"/>
      <c r="W730" s="4"/>
      <c r="X730" s="4"/>
      <c r="Y730" s="4"/>
    </row>
    <row r="731">
      <c r="A731" s="16" t="s">
        <v>4532</v>
      </c>
      <c r="B731" s="16">
        <v>1710072.0</v>
      </c>
      <c r="C731" s="8" t="s">
        <v>20</v>
      </c>
      <c r="D731" s="8" t="s">
        <v>4533</v>
      </c>
      <c r="E731" s="16" t="s">
        <v>4534</v>
      </c>
      <c r="F731" s="16">
        <v>1710072.0</v>
      </c>
      <c r="G731" s="16">
        <v>1710072.0</v>
      </c>
      <c r="H731" s="16">
        <v>1710072.0</v>
      </c>
      <c r="I731" s="16" t="s">
        <v>4535</v>
      </c>
      <c r="J731" s="16" t="s">
        <v>4536</v>
      </c>
      <c r="K731" s="16" t="s">
        <v>4536</v>
      </c>
      <c r="L731" s="16" t="s">
        <v>4536</v>
      </c>
      <c r="M731" s="16">
        <v>2021.0</v>
      </c>
      <c r="N731" s="18">
        <v>44281.0</v>
      </c>
      <c r="O731" s="18">
        <v>44281.0</v>
      </c>
      <c r="P731" s="16">
        <v>8731.0</v>
      </c>
      <c r="Q731" s="16">
        <v>2834.0</v>
      </c>
      <c r="R731" s="16">
        <v>16.0</v>
      </c>
      <c r="S731" s="4"/>
      <c r="T731" s="4"/>
      <c r="U731" s="4"/>
      <c r="V731" s="4"/>
      <c r="W731" s="4"/>
      <c r="X731" s="4"/>
      <c r="Y731" s="4"/>
    </row>
    <row r="732">
      <c r="A732" s="16" t="s">
        <v>4537</v>
      </c>
      <c r="B732" s="16">
        <v>1076582.0</v>
      </c>
      <c r="C732" s="8" t="s">
        <v>20</v>
      </c>
      <c r="D732" s="8" t="s">
        <v>4538</v>
      </c>
      <c r="E732" s="16" t="s">
        <v>4539</v>
      </c>
      <c r="F732" s="16">
        <v>1076582.0</v>
      </c>
      <c r="G732" s="4"/>
      <c r="H732" s="16">
        <v>1076582.0</v>
      </c>
      <c r="I732" s="16">
        <v>518567.0</v>
      </c>
      <c r="J732" s="16" t="s">
        <v>4540</v>
      </c>
      <c r="K732" s="16" t="s">
        <v>4540</v>
      </c>
      <c r="L732" s="16" t="s">
        <v>4540</v>
      </c>
      <c r="M732" s="16">
        <v>1999.0</v>
      </c>
      <c r="N732" s="18">
        <v>36273.0</v>
      </c>
      <c r="O732" s="18">
        <v>36273.0</v>
      </c>
      <c r="P732" s="16">
        <v>7375.0</v>
      </c>
      <c r="Q732" s="16">
        <v>7370.0</v>
      </c>
      <c r="R732" s="16">
        <v>22.0</v>
      </c>
      <c r="S732" s="4"/>
      <c r="T732" s="4"/>
      <c r="U732" s="4"/>
      <c r="V732" s="4"/>
      <c r="W732" s="4"/>
      <c r="X732" s="4"/>
      <c r="Y732" s="4"/>
    </row>
    <row r="733">
      <c r="A733" s="16" t="s">
        <v>4541</v>
      </c>
      <c r="B733" s="16">
        <v>1664998.0</v>
      </c>
      <c r="C733" s="8" t="s">
        <v>762</v>
      </c>
      <c r="D733" s="8" t="s">
        <v>4542</v>
      </c>
      <c r="E733" s="16" t="s">
        <v>4543</v>
      </c>
      <c r="F733" s="16">
        <v>1664998.0</v>
      </c>
      <c r="G733" s="4"/>
      <c r="H733" s="16">
        <v>1664998.0</v>
      </c>
      <c r="I733" s="16" t="s">
        <v>4544</v>
      </c>
      <c r="J733" s="16" t="s">
        <v>4545</v>
      </c>
      <c r="K733" s="16" t="s">
        <v>4545</v>
      </c>
      <c r="L733" s="16" t="s">
        <v>4545</v>
      </c>
      <c r="M733" s="16">
        <v>2021.0</v>
      </c>
      <c r="N733" s="18">
        <v>44308.0</v>
      </c>
      <c r="O733" s="18">
        <v>44308.0</v>
      </c>
      <c r="P733" s="16">
        <v>7371.0</v>
      </c>
      <c r="Q733" s="16">
        <v>7370.0</v>
      </c>
      <c r="R733" s="16">
        <v>16.0</v>
      </c>
      <c r="S733" s="4"/>
      <c r="T733" s="4"/>
      <c r="U733" s="4"/>
      <c r="V733" s="4"/>
      <c r="W733" s="4"/>
      <c r="X733" s="4"/>
      <c r="Y733" s="4"/>
    </row>
    <row r="734">
      <c r="A734" s="16" t="s">
        <v>4546</v>
      </c>
      <c r="B734" s="16">
        <v>1721484.0</v>
      </c>
      <c r="C734" s="8" t="s">
        <v>20</v>
      </c>
      <c r="D734" s="8" t="s">
        <v>4547</v>
      </c>
      <c r="E734" s="4"/>
      <c r="F734" s="4"/>
      <c r="G734" s="16">
        <v>1721484.0</v>
      </c>
      <c r="H734" s="16">
        <v>1721484.0</v>
      </c>
      <c r="I734" s="16" t="s">
        <v>4548</v>
      </c>
      <c r="J734" s="16" t="s">
        <v>4549</v>
      </c>
      <c r="K734" s="4"/>
      <c r="L734" s="16" t="s">
        <v>4549</v>
      </c>
      <c r="M734" s="16">
        <v>2021.0</v>
      </c>
      <c r="N734" s="4"/>
      <c r="O734" s="4"/>
      <c r="P734" s="16">
        <v>8731.0</v>
      </c>
      <c r="Q734" s="4"/>
      <c r="R734" s="16">
        <v>10.0</v>
      </c>
      <c r="S734" s="4"/>
      <c r="T734" s="4"/>
      <c r="U734" s="4"/>
      <c r="V734" s="4"/>
      <c r="W734" s="4"/>
      <c r="X734" s="4"/>
      <c r="Y734" s="4"/>
    </row>
    <row r="735">
      <c r="A735" s="16" t="s">
        <v>4550</v>
      </c>
      <c r="B735" s="16">
        <v>1315657.0</v>
      </c>
      <c r="C735" s="8" t="s">
        <v>749</v>
      </c>
      <c r="D735" s="8" t="s">
        <v>4551</v>
      </c>
      <c r="E735" s="4"/>
      <c r="F735" s="4"/>
      <c r="G735" s="4"/>
      <c r="H735" s="16">
        <v>1315657.0</v>
      </c>
      <c r="I735" s="16" t="s">
        <v>4552</v>
      </c>
      <c r="J735" s="16" t="s">
        <v>4553</v>
      </c>
      <c r="K735" s="4"/>
      <c r="L735" s="16" t="s">
        <v>4553</v>
      </c>
      <c r="M735" s="16">
        <v>1998.0</v>
      </c>
      <c r="N735" s="4"/>
      <c r="O735" s="4"/>
      <c r="P735" s="16">
        <v>7389.0</v>
      </c>
      <c r="Q735" s="4"/>
      <c r="R735" s="16">
        <v>14.0</v>
      </c>
      <c r="S735" s="4"/>
      <c r="T735" s="4"/>
      <c r="U735" s="4"/>
      <c r="V735" s="4"/>
      <c r="W735" s="4"/>
      <c r="X735" s="4"/>
      <c r="Y735" s="4"/>
    </row>
    <row r="736">
      <c r="A736" s="16" t="s">
        <v>4554</v>
      </c>
      <c r="B736" s="16">
        <v>1789769.0</v>
      </c>
      <c r="C736" s="8" t="s">
        <v>20</v>
      </c>
      <c r="D736" s="8" t="s">
        <v>4555</v>
      </c>
      <c r="E736" s="16" t="s">
        <v>4556</v>
      </c>
      <c r="F736" s="16">
        <v>1789769.0</v>
      </c>
      <c r="G736" s="16">
        <v>1789769.0</v>
      </c>
      <c r="H736" s="16">
        <v>1789769.0</v>
      </c>
      <c r="I736" s="16" t="s">
        <v>4557</v>
      </c>
      <c r="J736" s="16" t="s">
        <v>4558</v>
      </c>
      <c r="K736" s="16" t="s">
        <v>4558</v>
      </c>
      <c r="L736" s="16" t="s">
        <v>4558</v>
      </c>
      <c r="M736" s="16">
        <v>2021.0</v>
      </c>
      <c r="N736" s="18">
        <v>44274.0</v>
      </c>
      <c r="O736" s="18">
        <v>44274.0</v>
      </c>
      <c r="P736" s="16">
        <v>8731.0</v>
      </c>
      <c r="Q736" s="16">
        <v>2836.0</v>
      </c>
      <c r="R736" s="16">
        <v>20.0</v>
      </c>
      <c r="S736" s="4"/>
      <c r="T736" s="4"/>
      <c r="U736" s="4"/>
      <c r="V736" s="4"/>
      <c r="W736" s="4"/>
      <c r="X736" s="4"/>
      <c r="Y736" s="4"/>
    </row>
    <row r="737">
      <c r="A737" s="16" t="s">
        <v>4559</v>
      </c>
      <c r="B737" s="16">
        <v>1045035.0</v>
      </c>
      <c r="C737" s="8" t="s">
        <v>762</v>
      </c>
      <c r="D737" s="8" t="s">
        <v>4560</v>
      </c>
      <c r="E737" s="16" t="s">
        <v>4561</v>
      </c>
      <c r="F737" s="16">
        <v>1045035.0</v>
      </c>
      <c r="G737" s="4"/>
      <c r="H737" s="16">
        <v>1045035.0</v>
      </c>
      <c r="I737" s="16">
        <v>500200.0</v>
      </c>
      <c r="J737" s="16" t="s">
        <v>4562</v>
      </c>
      <c r="K737" s="16" t="s">
        <v>4562</v>
      </c>
      <c r="L737" s="16" t="s">
        <v>4562</v>
      </c>
      <c r="M737" s="16">
        <v>1997.0</v>
      </c>
      <c r="N737" s="18">
        <v>35713.0</v>
      </c>
      <c r="O737" s="18">
        <v>35713.0</v>
      </c>
      <c r="P737" s="16">
        <v>7372.0</v>
      </c>
      <c r="Q737" s="16">
        <v>3576.0</v>
      </c>
      <c r="R737" s="16">
        <v>11.0</v>
      </c>
      <c r="S737" s="4"/>
      <c r="T737" s="4"/>
      <c r="U737" s="4"/>
      <c r="V737" s="4"/>
      <c r="W737" s="4"/>
      <c r="X737" s="4"/>
      <c r="Y737" s="4"/>
    </row>
    <row r="738">
      <c r="A738" s="16" t="s">
        <v>4563</v>
      </c>
      <c r="B738" s="16">
        <v>1651431.0</v>
      </c>
      <c r="C738" s="8" t="s">
        <v>20</v>
      </c>
      <c r="D738" s="8" t="s">
        <v>4564</v>
      </c>
      <c r="E738" s="16" t="s">
        <v>4565</v>
      </c>
      <c r="F738" s="16">
        <v>1651431.0</v>
      </c>
      <c r="G738" s="4"/>
      <c r="H738" s="16">
        <v>1651431.0</v>
      </c>
      <c r="I738" s="16">
        <v>162818.0</v>
      </c>
      <c r="J738" s="16" t="s">
        <v>4566</v>
      </c>
      <c r="K738" s="16" t="s">
        <v>4566</v>
      </c>
      <c r="L738" s="16" t="s">
        <v>4566</v>
      </c>
      <c r="M738" s="16">
        <v>2020.0</v>
      </c>
      <c r="N738" s="18">
        <v>44050.0</v>
      </c>
      <c r="O738" s="18">
        <v>44050.0</v>
      </c>
      <c r="P738" s="16">
        <v>8731.0</v>
      </c>
      <c r="Q738" s="16">
        <v>2836.0</v>
      </c>
      <c r="R738" s="16">
        <v>15.0</v>
      </c>
      <c r="S738" s="4"/>
      <c r="T738" s="4"/>
      <c r="U738" s="4"/>
      <c r="V738" s="4"/>
      <c r="W738" s="4"/>
      <c r="X738" s="4"/>
      <c r="Y738" s="4"/>
    </row>
    <row r="739">
      <c r="A739" s="16" t="s">
        <v>4567</v>
      </c>
      <c r="B739" s="16">
        <v>845818.0</v>
      </c>
      <c r="C739" s="8" t="s">
        <v>20</v>
      </c>
      <c r="D739" s="8" t="s">
        <v>4568</v>
      </c>
      <c r="E739" s="16" t="s">
        <v>4569</v>
      </c>
      <c r="F739" s="16">
        <v>845818.0</v>
      </c>
      <c r="G739" s="4"/>
      <c r="H739" s="16">
        <v>845818.0</v>
      </c>
      <c r="I739" s="16" t="s">
        <v>4570</v>
      </c>
      <c r="J739" s="16" t="s">
        <v>4571</v>
      </c>
      <c r="K739" s="16" t="s">
        <v>4571</v>
      </c>
      <c r="L739" s="16" t="s">
        <v>4571</v>
      </c>
      <c r="M739" s="16">
        <v>1997.0</v>
      </c>
      <c r="N739" s="18">
        <v>35473.0</v>
      </c>
      <c r="O739" s="18">
        <v>35473.0</v>
      </c>
      <c r="P739" s="16">
        <v>7372.0</v>
      </c>
      <c r="Q739" s="16">
        <v>7373.0</v>
      </c>
      <c r="R739" s="16">
        <v>9.5</v>
      </c>
      <c r="S739" s="4"/>
      <c r="T739" s="4"/>
      <c r="U739" s="4"/>
      <c r="V739" s="4"/>
      <c r="W739" s="4"/>
      <c r="X739" s="4"/>
      <c r="Y739" s="4"/>
    </row>
    <row r="740">
      <c r="A740" s="16" t="s">
        <v>4572</v>
      </c>
      <c r="B740" s="16">
        <v>1841387.0</v>
      </c>
      <c r="C740" s="8" t="s">
        <v>20</v>
      </c>
      <c r="D740" s="8" t="s">
        <v>4573</v>
      </c>
      <c r="E740" s="16" t="s">
        <v>4574</v>
      </c>
      <c r="F740" s="16">
        <v>1841387.0</v>
      </c>
      <c r="G740" s="16">
        <v>1841387.0</v>
      </c>
      <c r="H740" s="16">
        <v>1841387.0</v>
      </c>
      <c r="I740" s="16">
        <v>137404.0</v>
      </c>
      <c r="J740" s="16" t="s">
        <v>4575</v>
      </c>
      <c r="K740" s="16" t="s">
        <v>4575</v>
      </c>
      <c r="L740" s="16" t="s">
        <v>4575</v>
      </c>
      <c r="M740" s="16">
        <v>2021.0</v>
      </c>
      <c r="N740" s="18">
        <v>44404.0</v>
      </c>
      <c r="O740" s="18">
        <v>44404.0</v>
      </c>
      <c r="P740" s="16">
        <v>8731.0</v>
      </c>
      <c r="Q740" s="16">
        <v>2836.0</v>
      </c>
      <c r="R740" s="16">
        <v>8.0</v>
      </c>
      <c r="S740" s="4"/>
      <c r="T740" s="4"/>
      <c r="U740" s="4"/>
      <c r="V740" s="4"/>
      <c r="W740" s="4"/>
      <c r="X740" s="4"/>
      <c r="Y740" s="4"/>
    </row>
    <row r="741">
      <c r="A741" s="16" t="s">
        <v>4576</v>
      </c>
      <c r="B741" s="16">
        <v>1089638.0</v>
      </c>
      <c r="C741" s="8" t="s">
        <v>762</v>
      </c>
      <c r="D741" s="8" t="s">
        <v>4577</v>
      </c>
      <c r="E741" s="16" t="s">
        <v>4578</v>
      </c>
      <c r="F741" s="16">
        <v>1089638.0</v>
      </c>
      <c r="G741" s="4"/>
      <c r="H741" s="16">
        <v>1089638.0</v>
      </c>
      <c r="I741" s="16" t="s">
        <v>4579</v>
      </c>
      <c r="J741" s="4"/>
      <c r="K741" s="16" t="s">
        <v>4580</v>
      </c>
      <c r="L741" s="4"/>
      <c r="M741" s="16">
        <v>2004.0</v>
      </c>
      <c r="N741" s="18">
        <v>38259.0</v>
      </c>
      <c r="O741" s="18">
        <v>38259.0</v>
      </c>
      <c r="P741" s="16">
        <v>7376.0</v>
      </c>
      <c r="Q741" s="16">
        <v>7373.0</v>
      </c>
      <c r="R741" s="16">
        <v>12.0</v>
      </c>
      <c r="S741" s="4"/>
      <c r="T741" s="4"/>
      <c r="U741" s="4"/>
      <c r="V741" s="4"/>
      <c r="W741" s="4"/>
      <c r="X741" s="4"/>
      <c r="Y741" s="4"/>
    </row>
    <row r="742">
      <c r="A742" s="16" t="s">
        <v>4581</v>
      </c>
      <c r="B742" s="16">
        <v>1514183.0</v>
      </c>
      <c r="C742" s="8" t="s">
        <v>20</v>
      </c>
      <c r="D742" s="8" t="s">
        <v>4582</v>
      </c>
      <c r="E742" s="16" t="s">
        <v>4583</v>
      </c>
      <c r="F742" s="16">
        <v>1514183.0</v>
      </c>
      <c r="G742" s="16">
        <v>1514183.0</v>
      </c>
      <c r="H742" s="16">
        <v>1514183.0</v>
      </c>
      <c r="I742" s="16" t="s">
        <v>4584</v>
      </c>
      <c r="J742" s="16" t="s">
        <v>4585</v>
      </c>
      <c r="K742" s="16" t="s">
        <v>4585</v>
      </c>
      <c r="L742" s="16" t="s">
        <v>4585</v>
      </c>
      <c r="M742" s="16">
        <v>2022.0</v>
      </c>
      <c r="N742" s="4"/>
      <c r="O742" s="4"/>
      <c r="P742" s="16">
        <v>8731.0</v>
      </c>
      <c r="Q742" s="16">
        <v>2836.0</v>
      </c>
      <c r="R742" s="16">
        <v>5.0</v>
      </c>
      <c r="S742" s="4"/>
      <c r="T742" s="4"/>
      <c r="U742" s="4"/>
      <c r="V742" s="4"/>
      <c r="W742" s="4"/>
      <c r="X742" s="4"/>
      <c r="Y742" s="4"/>
    </row>
    <row r="743">
      <c r="A743" s="16" t="s">
        <v>4586</v>
      </c>
      <c r="B743" s="16">
        <v>1284812.0</v>
      </c>
      <c r="C743" s="8" t="s">
        <v>20</v>
      </c>
      <c r="D743" s="8" t="s">
        <v>4587</v>
      </c>
      <c r="E743" s="16" t="s">
        <v>4588</v>
      </c>
      <c r="F743" s="16">
        <v>1284812.0</v>
      </c>
      <c r="G743" s="16">
        <v>1284812.0</v>
      </c>
      <c r="H743" s="17">
        <v>1.28481200019394E36</v>
      </c>
      <c r="I743" s="16" t="s">
        <v>4589</v>
      </c>
      <c r="J743" s="16" t="s">
        <v>4590</v>
      </c>
      <c r="K743" s="16" t="s">
        <v>4590</v>
      </c>
      <c r="L743" s="16" t="s">
        <v>4590</v>
      </c>
      <c r="M743" s="16">
        <v>2004.0</v>
      </c>
      <c r="N743" s="18">
        <v>38212.0</v>
      </c>
      <c r="O743" s="18">
        <v>38212.0</v>
      </c>
      <c r="P743" s="16">
        <v>6282.0</v>
      </c>
      <c r="Q743" s="16">
        <v>6282.0</v>
      </c>
      <c r="R743" s="16">
        <v>13.0</v>
      </c>
      <c r="S743" s="4"/>
      <c r="T743" s="4"/>
      <c r="U743" s="4"/>
      <c r="V743" s="4"/>
      <c r="W743" s="4"/>
      <c r="X743" s="4"/>
      <c r="Y743" s="4"/>
    </row>
    <row r="744">
      <c r="A744" s="16" t="s">
        <v>4591</v>
      </c>
      <c r="B744" s="16">
        <v>1825480.0</v>
      </c>
      <c r="C744" s="8" t="s">
        <v>20</v>
      </c>
      <c r="D744" s="8" t="s">
        <v>4592</v>
      </c>
      <c r="E744" s="16" t="s">
        <v>4593</v>
      </c>
      <c r="F744" s="16">
        <v>1825480.0</v>
      </c>
      <c r="G744" s="4"/>
      <c r="H744" s="16">
        <v>1825480.0</v>
      </c>
      <c r="I744" s="16" t="s">
        <v>4594</v>
      </c>
      <c r="J744" s="16" t="s">
        <v>4595</v>
      </c>
      <c r="K744" s="16" t="s">
        <v>4595</v>
      </c>
      <c r="L744" s="16" t="s">
        <v>4595</v>
      </c>
      <c r="M744" s="16">
        <v>2021.0</v>
      </c>
      <c r="N744" s="18">
        <v>44210.0</v>
      </c>
      <c r="O744" s="18">
        <v>44210.0</v>
      </c>
      <c r="P744" s="16">
        <v>7389.0</v>
      </c>
      <c r="Q744" s="16">
        <v>5961.0</v>
      </c>
      <c r="R744" s="16">
        <v>42.0</v>
      </c>
      <c r="S744" s="4"/>
      <c r="T744" s="4"/>
      <c r="U744" s="4"/>
      <c r="V744" s="4"/>
      <c r="W744" s="4"/>
      <c r="X744" s="4"/>
      <c r="Y744" s="4"/>
    </row>
    <row r="745">
      <c r="A745" s="16" t="s">
        <v>4596</v>
      </c>
      <c r="B745" s="16">
        <v>1002531.0</v>
      </c>
      <c r="C745" s="8" t="s">
        <v>20</v>
      </c>
      <c r="D745" s="8" t="s">
        <v>4597</v>
      </c>
      <c r="E745" s="16" t="s">
        <v>4598</v>
      </c>
      <c r="F745" s="16">
        <v>1002531.0</v>
      </c>
      <c r="G745" s="4"/>
      <c r="H745" s="16">
        <v>1002531.0</v>
      </c>
      <c r="I745" s="16">
        <v>889542.0</v>
      </c>
      <c r="J745" s="16" t="s">
        <v>4599</v>
      </c>
      <c r="K745" s="16" t="s">
        <v>4599</v>
      </c>
      <c r="L745" s="16" t="s">
        <v>4599</v>
      </c>
      <c r="M745" s="16">
        <v>1995.0</v>
      </c>
      <c r="N745" s="18">
        <v>35047.0</v>
      </c>
      <c r="O745" s="18">
        <v>35047.0</v>
      </c>
      <c r="P745" s="16">
        <v>7372.0</v>
      </c>
      <c r="Q745" s="16">
        <v>3825.0</v>
      </c>
      <c r="R745" s="16">
        <v>12.0</v>
      </c>
      <c r="S745" s="4"/>
      <c r="T745" s="4"/>
      <c r="U745" s="4"/>
      <c r="V745" s="4"/>
      <c r="W745" s="4"/>
      <c r="X745" s="4"/>
      <c r="Y745" s="4"/>
    </row>
    <row r="746">
      <c r="A746" s="16" t="s">
        <v>4600</v>
      </c>
      <c r="B746" s="16">
        <v>1061310.0</v>
      </c>
      <c r="C746" s="8" t="s">
        <v>749</v>
      </c>
      <c r="D746" s="8" t="s">
        <v>4601</v>
      </c>
      <c r="E746" s="16" t="s">
        <v>4602</v>
      </c>
      <c r="F746" s="4"/>
      <c r="G746" s="16">
        <v>1821586.0</v>
      </c>
      <c r="H746" s="16">
        <v>1061310.0</v>
      </c>
      <c r="I746" s="16">
        <v>625367.0</v>
      </c>
      <c r="J746" s="16" t="s">
        <v>4603</v>
      </c>
      <c r="K746" s="16" t="s">
        <v>4604</v>
      </c>
      <c r="L746" s="16" t="s">
        <v>4603</v>
      </c>
      <c r="M746" s="16">
        <v>1999.0</v>
      </c>
      <c r="N746" s="18">
        <v>36236.0</v>
      </c>
      <c r="O746" s="18">
        <v>36236.0</v>
      </c>
      <c r="P746" s="16">
        <v>7375.0</v>
      </c>
      <c r="Q746" s="16">
        <v>7370.0</v>
      </c>
      <c r="R746" s="16">
        <v>14.0</v>
      </c>
      <c r="S746" s="4"/>
      <c r="T746" s="4"/>
      <c r="U746" s="4"/>
      <c r="V746" s="4"/>
      <c r="W746" s="4"/>
      <c r="X746" s="4"/>
      <c r="Y746" s="4"/>
    </row>
    <row r="747">
      <c r="A747" s="16" t="s">
        <v>4605</v>
      </c>
      <c r="B747" s="16">
        <v>1407313.0</v>
      </c>
      <c r="C747" s="8" t="s">
        <v>20</v>
      </c>
      <c r="D747" s="8" t="s">
        <v>4606</v>
      </c>
      <c r="E747" s="16" t="s">
        <v>4607</v>
      </c>
      <c r="F747" s="16">
        <v>1407313.0</v>
      </c>
      <c r="G747" s="4"/>
      <c r="H747" s="16">
        <v>1100885.0</v>
      </c>
      <c r="I747" s="16" t="s">
        <v>4608</v>
      </c>
      <c r="J747" s="16" t="s">
        <v>4609</v>
      </c>
      <c r="K747" s="16" t="s">
        <v>4610</v>
      </c>
      <c r="L747" s="16" t="s">
        <v>4609</v>
      </c>
      <c r="M747" s="16">
        <v>2000.0</v>
      </c>
      <c r="N747" s="18">
        <v>36599.0</v>
      </c>
      <c r="O747" s="18">
        <v>36599.0</v>
      </c>
      <c r="P747" s="16">
        <v>7375.0</v>
      </c>
      <c r="Q747" s="16">
        <v>8742.0</v>
      </c>
      <c r="R747" s="16">
        <v>24.0</v>
      </c>
      <c r="S747" s="4"/>
      <c r="T747" s="4"/>
      <c r="U747" s="4"/>
      <c r="V747" s="4"/>
      <c r="W747" s="4"/>
      <c r="X747" s="4"/>
      <c r="Y747" s="4"/>
    </row>
    <row r="748">
      <c r="A748" s="16" t="s">
        <v>4611</v>
      </c>
      <c r="B748" s="16">
        <v>1077009.0</v>
      </c>
      <c r="C748" s="8" t="s">
        <v>20</v>
      </c>
      <c r="D748" s="8" t="s">
        <v>4612</v>
      </c>
      <c r="E748" s="4"/>
      <c r="F748" s="4"/>
      <c r="G748" s="4"/>
      <c r="H748" s="16">
        <v>1077009.0</v>
      </c>
      <c r="I748" s="16">
        <v>53331.0</v>
      </c>
      <c r="J748" s="16" t="s">
        <v>4613</v>
      </c>
      <c r="K748" s="4"/>
      <c r="L748" s="16" t="s">
        <v>4613</v>
      </c>
      <c r="M748" s="16">
        <v>1999.0</v>
      </c>
      <c r="N748" s="4"/>
      <c r="O748" s="4"/>
      <c r="P748" s="16">
        <v>7389.0</v>
      </c>
      <c r="Q748" s="4"/>
      <c r="R748" s="16">
        <v>14.0</v>
      </c>
      <c r="S748" s="4"/>
      <c r="T748" s="4"/>
      <c r="U748" s="4"/>
      <c r="V748" s="4"/>
      <c r="W748" s="4"/>
      <c r="X748" s="4"/>
      <c r="Y748" s="4"/>
    </row>
    <row r="749">
      <c r="A749" s="16" t="s">
        <v>4614</v>
      </c>
      <c r="B749" s="16">
        <v>1029553.0</v>
      </c>
      <c r="C749" s="8" t="s">
        <v>20</v>
      </c>
      <c r="D749" s="8" t="s">
        <v>4615</v>
      </c>
      <c r="E749" s="16" t="s">
        <v>4616</v>
      </c>
      <c r="F749" s="16">
        <v>1029553.0</v>
      </c>
      <c r="G749" s="4"/>
      <c r="H749" s="16">
        <v>1029553.0</v>
      </c>
      <c r="I749" s="16">
        <v>383486.0</v>
      </c>
      <c r="J749" s="16" t="s">
        <v>4617</v>
      </c>
      <c r="K749" s="16" t="s">
        <v>4618</v>
      </c>
      <c r="L749" s="16" t="s">
        <v>4617</v>
      </c>
      <c r="M749" s="16">
        <v>1997.0</v>
      </c>
      <c r="N749" s="18">
        <v>35543.0</v>
      </c>
      <c r="O749" s="18">
        <v>35543.0</v>
      </c>
      <c r="P749" s="16">
        <v>7375.0</v>
      </c>
      <c r="Q749" s="16">
        <v>7370.0</v>
      </c>
      <c r="R749" s="16">
        <v>8.0</v>
      </c>
      <c r="S749" s="4"/>
      <c r="T749" s="4"/>
      <c r="U749" s="4"/>
      <c r="V749" s="4"/>
      <c r="W749" s="4"/>
      <c r="X749" s="4"/>
      <c r="Y749" s="4"/>
    </row>
    <row r="750">
      <c r="A750" s="16" t="s">
        <v>4619</v>
      </c>
      <c r="B750" s="16">
        <v>1596532.0</v>
      </c>
      <c r="C750" s="8" t="s">
        <v>762</v>
      </c>
      <c r="D750" s="8" t="s">
        <v>4620</v>
      </c>
      <c r="E750" s="4"/>
      <c r="F750" s="4"/>
      <c r="G750" s="16">
        <v>1596532.0</v>
      </c>
      <c r="H750" s="16">
        <v>1596532.0</v>
      </c>
      <c r="I750" s="16">
        <v>40413.0</v>
      </c>
      <c r="J750" s="16" t="s">
        <v>4621</v>
      </c>
      <c r="K750" s="4"/>
      <c r="L750" s="16" t="s">
        <v>4621</v>
      </c>
      <c r="M750" s="16">
        <v>2014.0</v>
      </c>
      <c r="N750" s="4"/>
      <c r="O750" s="4"/>
      <c r="P750" s="16">
        <v>7372.0</v>
      </c>
      <c r="Q750" s="4"/>
      <c r="R750" s="16">
        <v>43.0</v>
      </c>
      <c r="S750" s="4"/>
      <c r="T750" s="4"/>
      <c r="U750" s="4"/>
      <c r="V750" s="4"/>
      <c r="W750" s="4"/>
      <c r="X750" s="4"/>
      <c r="Y750" s="4"/>
    </row>
    <row r="751">
      <c r="A751" s="16" t="s">
        <v>4622</v>
      </c>
      <c r="B751" s="16">
        <v>1045597.0</v>
      </c>
      <c r="C751" s="8" t="s">
        <v>20</v>
      </c>
      <c r="D751" s="8" t="s">
        <v>4623</v>
      </c>
      <c r="E751" s="16" t="s">
        <v>4624</v>
      </c>
      <c r="F751" s="16">
        <v>1045597.0</v>
      </c>
      <c r="G751" s="4"/>
      <c r="H751" s="16">
        <v>1045597.0</v>
      </c>
      <c r="I751" s="16">
        <v>465713.0</v>
      </c>
      <c r="J751" s="16" t="s">
        <v>4625</v>
      </c>
      <c r="K751" s="16" t="s">
        <v>4625</v>
      </c>
      <c r="L751" s="16" t="s">
        <v>4625</v>
      </c>
      <c r="M751" s="16">
        <v>2000.0</v>
      </c>
      <c r="N751" s="18">
        <v>36622.0</v>
      </c>
      <c r="O751" s="18">
        <v>36622.0</v>
      </c>
      <c r="P751" s="16">
        <v>7389.0</v>
      </c>
      <c r="Q751" s="16">
        <v>4899.0</v>
      </c>
      <c r="R751" s="16">
        <v>16.0</v>
      </c>
      <c r="S751" s="4"/>
      <c r="T751" s="4"/>
      <c r="U751" s="4"/>
      <c r="V751" s="4"/>
      <c r="W751" s="4"/>
      <c r="X751" s="4"/>
      <c r="Y751" s="4"/>
    </row>
    <row r="752">
      <c r="A752" s="16" t="s">
        <v>4626</v>
      </c>
      <c r="B752" s="16">
        <v>1100395.0</v>
      </c>
      <c r="C752" s="8" t="s">
        <v>20</v>
      </c>
      <c r="D752" s="8" t="s">
        <v>4627</v>
      </c>
      <c r="E752" s="16" t="s">
        <v>4628</v>
      </c>
      <c r="F752" s="16">
        <v>1100395.0</v>
      </c>
      <c r="G752" s="4"/>
      <c r="H752" s="16">
        <v>1100395.0</v>
      </c>
      <c r="I752" s="16" t="s">
        <v>4629</v>
      </c>
      <c r="J752" s="16" t="s">
        <v>4630</v>
      </c>
      <c r="K752" s="16" t="s">
        <v>4631</v>
      </c>
      <c r="L752" s="16" t="s">
        <v>4632</v>
      </c>
      <c r="M752" s="16">
        <v>2000.0</v>
      </c>
      <c r="N752" s="18">
        <v>36746.0</v>
      </c>
      <c r="O752" s="18">
        <v>36746.0</v>
      </c>
      <c r="P752" s="16">
        <v>7375.0</v>
      </c>
      <c r="Q752" s="16">
        <v>7370.0</v>
      </c>
      <c r="R752" s="16">
        <v>8.0</v>
      </c>
      <c r="S752" s="4"/>
      <c r="T752" s="4"/>
      <c r="U752" s="4"/>
      <c r="V752" s="4"/>
      <c r="W752" s="4"/>
      <c r="X752" s="4"/>
      <c r="Y752" s="4"/>
    </row>
    <row r="753">
      <c r="A753" s="16" t="s">
        <v>4633</v>
      </c>
      <c r="B753" s="16">
        <v>1084817.0</v>
      </c>
      <c r="C753" s="8" t="s">
        <v>762</v>
      </c>
      <c r="D753" s="8" t="s">
        <v>4634</v>
      </c>
      <c r="E753" s="16" t="s">
        <v>4635</v>
      </c>
      <c r="F753" s="16">
        <v>1084817.0</v>
      </c>
      <c r="G753" s="4"/>
      <c r="H753" s="16">
        <v>1084817.0</v>
      </c>
      <c r="I753" s="16">
        <v>761248.0</v>
      </c>
      <c r="J753" s="16" t="s">
        <v>4636</v>
      </c>
      <c r="K753" s="16" t="s">
        <v>4636</v>
      </c>
      <c r="L753" s="16" t="s">
        <v>4636</v>
      </c>
      <c r="M753" s="16">
        <v>2011.0</v>
      </c>
      <c r="N753" s="18">
        <v>40654.0</v>
      </c>
      <c r="O753" s="18">
        <v>40654.0</v>
      </c>
      <c r="P753" s="16">
        <v>7372.0</v>
      </c>
      <c r="Q753" s="16">
        <v>7372.0</v>
      </c>
      <c r="R753" s="16">
        <v>12.0</v>
      </c>
      <c r="S753" s="4"/>
      <c r="T753" s="4"/>
      <c r="U753" s="4"/>
      <c r="V753" s="4"/>
      <c r="W753" s="4"/>
      <c r="X753" s="4"/>
      <c r="Y753" s="4"/>
    </row>
    <row r="754">
      <c r="A754" s="16" t="s">
        <v>4637</v>
      </c>
      <c r="B754" s="16">
        <v>1016277.0</v>
      </c>
      <c r="C754" s="8" t="s">
        <v>749</v>
      </c>
      <c r="D754" s="8" t="s">
        <v>4638</v>
      </c>
      <c r="E754" s="16" t="s">
        <v>4639</v>
      </c>
      <c r="F754" s="16">
        <v>1016277.0</v>
      </c>
      <c r="G754" s="4"/>
      <c r="H754" s="17">
        <v>1.36466700010162E16</v>
      </c>
      <c r="I754" s="16">
        <v>637229.0</v>
      </c>
      <c r="J754" s="16" t="s">
        <v>4640</v>
      </c>
      <c r="K754" s="16" t="s">
        <v>4641</v>
      </c>
      <c r="L754" s="16" t="s">
        <v>4642</v>
      </c>
      <c r="M754" s="16">
        <v>1996.0</v>
      </c>
      <c r="N754" s="18">
        <v>35285.0</v>
      </c>
      <c r="O754" s="18">
        <v>35285.0</v>
      </c>
      <c r="P754" s="16">
        <v>7374.0</v>
      </c>
      <c r="Q754" s="16">
        <v>6099.0</v>
      </c>
      <c r="R754" s="16">
        <v>16.5</v>
      </c>
      <c r="S754" s="4"/>
      <c r="T754" s="4"/>
      <c r="U754" s="4"/>
      <c r="V754" s="4"/>
      <c r="W754" s="4"/>
      <c r="X754" s="4"/>
      <c r="Y754" s="4"/>
    </row>
    <row r="755">
      <c r="A755" s="16" t="s">
        <v>4643</v>
      </c>
      <c r="B755" s="16">
        <v>1345126.0</v>
      </c>
      <c r="C755" s="8" t="s">
        <v>20</v>
      </c>
      <c r="D755" s="8" t="s">
        <v>4644</v>
      </c>
      <c r="E755" s="16" t="s">
        <v>4645</v>
      </c>
      <c r="F755" s="16">
        <v>1345126.0</v>
      </c>
      <c r="G755" s="16">
        <v>1345126.0</v>
      </c>
      <c r="H755" s="16">
        <v>1345126.0</v>
      </c>
      <c r="I755" s="16" t="s">
        <v>4646</v>
      </c>
      <c r="J755" s="16" t="s">
        <v>4647</v>
      </c>
      <c r="K755" s="16" t="s">
        <v>4647</v>
      </c>
      <c r="L755" s="16" t="s">
        <v>4647</v>
      </c>
      <c r="M755" s="16">
        <v>2006.0</v>
      </c>
      <c r="N755" s="18">
        <v>38848.0</v>
      </c>
      <c r="O755" s="18">
        <v>38848.0</v>
      </c>
      <c r="P755" s="16">
        <v>7363.0</v>
      </c>
      <c r="Q755" s="16">
        <v>3600.0</v>
      </c>
      <c r="R755" s="16">
        <v>15.0</v>
      </c>
      <c r="S755" s="4"/>
      <c r="T755" s="4"/>
      <c r="U755" s="4"/>
      <c r="V755" s="4"/>
      <c r="W755" s="4"/>
      <c r="X755" s="4"/>
      <c r="Y755" s="4"/>
    </row>
    <row r="756">
      <c r="A756" s="16" t="s">
        <v>4648</v>
      </c>
      <c r="B756" s="16">
        <v>727489.0</v>
      </c>
      <c r="C756" s="8" t="s">
        <v>762</v>
      </c>
      <c r="D756" s="8" t="s">
        <v>4649</v>
      </c>
      <c r="E756" s="16" t="s">
        <v>4650</v>
      </c>
      <c r="F756" s="16">
        <v>727489.0</v>
      </c>
      <c r="G756" s="4"/>
      <c r="H756" s="16">
        <v>727489.0</v>
      </c>
      <c r="I756" s="16" t="s">
        <v>4651</v>
      </c>
      <c r="J756" s="16" t="s">
        <v>4652</v>
      </c>
      <c r="K756" s="16" t="s">
        <v>4653</v>
      </c>
      <c r="L756" s="16" t="s">
        <v>4652</v>
      </c>
      <c r="M756" s="16">
        <v>1999.0</v>
      </c>
      <c r="N756" s="18">
        <v>36460.0</v>
      </c>
      <c r="O756" s="18">
        <v>36460.0</v>
      </c>
      <c r="P756" s="16">
        <v>7371.0</v>
      </c>
      <c r="Q756" s="16">
        <v>7370.0</v>
      </c>
      <c r="R756" s="16">
        <v>18.0</v>
      </c>
      <c r="S756" s="4"/>
      <c r="T756" s="4"/>
      <c r="U756" s="4"/>
      <c r="V756" s="4"/>
      <c r="W756" s="4"/>
      <c r="X756" s="4"/>
      <c r="Y756" s="4"/>
    </row>
    <row r="757">
      <c r="A757" s="16" t="s">
        <v>4654</v>
      </c>
      <c r="B757" s="16">
        <v>937098.0</v>
      </c>
      <c r="C757" s="8" t="s">
        <v>762</v>
      </c>
      <c r="D757" s="8" t="s">
        <v>4655</v>
      </c>
      <c r="E757" s="16" t="s">
        <v>4656</v>
      </c>
      <c r="F757" s="16">
        <v>937098.0</v>
      </c>
      <c r="G757" s="16">
        <v>937098.0</v>
      </c>
      <c r="H757" s="16">
        <v>937098.0</v>
      </c>
      <c r="I757" s="16">
        <v>896288.0</v>
      </c>
      <c r="J757" s="16" t="s">
        <v>4657</v>
      </c>
      <c r="K757" s="16" t="s">
        <v>4657</v>
      </c>
      <c r="L757" s="4"/>
      <c r="M757" s="16">
        <v>2014.0</v>
      </c>
      <c r="N757" s="18">
        <v>41725.0</v>
      </c>
      <c r="O757" s="18">
        <v>41725.0</v>
      </c>
      <c r="P757" s="16">
        <v>8742.0</v>
      </c>
      <c r="Q757" s="16">
        <v>8742.0</v>
      </c>
      <c r="R757" s="16">
        <v>16.0</v>
      </c>
      <c r="S757" s="4"/>
      <c r="T757" s="4"/>
      <c r="U757" s="4"/>
      <c r="V757" s="4"/>
      <c r="W757" s="4"/>
      <c r="X757" s="4"/>
      <c r="Y757" s="4"/>
    </row>
    <row r="758">
      <c r="A758" s="16" t="s">
        <v>4658</v>
      </c>
      <c r="B758" s="16">
        <v>1111247.0</v>
      </c>
      <c r="C758" s="8" t="s">
        <v>762</v>
      </c>
      <c r="D758" s="8" t="s">
        <v>4659</v>
      </c>
      <c r="E758" s="16" t="s">
        <v>4660</v>
      </c>
      <c r="F758" s="16">
        <v>1111247.0</v>
      </c>
      <c r="G758" s="4"/>
      <c r="H758" s="16">
        <v>1111247.0</v>
      </c>
      <c r="I758" s="16" t="s">
        <v>4661</v>
      </c>
      <c r="J758" s="16" t="s">
        <v>4662</v>
      </c>
      <c r="K758" s="16" t="s">
        <v>4662</v>
      </c>
      <c r="L758" s="16" t="s">
        <v>4662</v>
      </c>
      <c r="M758" s="16">
        <v>2004.0</v>
      </c>
      <c r="N758" s="18">
        <v>38204.0</v>
      </c>
      <c r="O758" s="18">
        <v>38204.0</v>
      </c>
      <c r="P758" s="16">
        <v>7372.0</v>
      </c>
      <c r="Q758" s="16">
        <v>7372.0</v>
      </c>
      <c r="R758" s="16">
        <v>7.0</v>
      </c>
      <c r="S758" s="4"/>
      <c r="T758" s="4"/>
      <c r="U758" s="4"/>
      <c r="V758" s="4"/>
      <c r="W758" s="4"/>
      <c r="X758" s="4"/>
      <c r="Y758" s="4"/>
    </row>
    <row r="759">
      <c r="A759" s="16" t="s">
        <v>4663</v>
      </c>
      <c r="B759" s="16">
        <v>1013564.0</v>
      </c>
      <c r="C759" s="8" t="s">
        <v>20</v>
      </c>
      <c r="D759" s="8" t="s">
        <v>4664</v>
      </c>
      <c r="E759" s="16" t="s">
        <v>4665</v>
      </c>
      <c r="F759" s="16">
        <v>1013564.0</v>
      </c>
      <c r="G759" s="4"/>
      <c r="H759" s="16">
        <v>1013564.0</v>
      </c>
      <c r="I759" s="16">
        <v>307901.0</v>
      </c>
      <c r="J759" s="16" t="s">
        <v>4666</v>
      </c>
      <c r="K759" s="16" t="s">
        <v>4667</v>
      </c>
      <c r="L759" s="16" t="s">
        <v>4666</v>
      </c>
      <c r="M759" s="16">
        <v>1996.0</v>
      </c>
      <c r="N759" s="18">
        <v>35268.0</v>
      </c>
      <c r="O759" s="18">
        <v>35268.0</v>
      </c>
      <c r="P759" s="16">
        <v>6331.0</v>
      </c>
      <c r="Q759" s="16">
        <v>6331.0</v>
      </c>
      <c r="R759" s="16">
        <v>16.0</v>
      </c>
      <c r="S759" s="4"/>
      <c r="T759" s="4"/>
      <c r="U759" s="4"/>
      <c r="V759" s="4"/>
      <c r="W759" s="4"/>
      <c r="X759" s="4"/>
      <c r="Y759" s="4"/>
    </row>
    <row r="760">
      <c r="A760" s="16" t="s">
        <v>4668</v>
      </c>
      <c r="B760" s="16">
        <v>1081015.0</v>
      </c>
      <c r="C760" s="8" t="s">
        <v>749</v>
      </c>
      <c r="D760" s="8" t="s">
        <v>4669</v>
      </c>
      <c r="E760" s="16" t="s">
        <v>4670</v>
      </c>
      <c r="F760" s="16">
        <v>1081015.0</v>
      </c>
      <c r="G760" s="4"/>
      <c r="H760" s="16">
        <v>1081015.0</v>
      </c>
      <c r="I760" s="16" t="s">
        <v>4671</v>
      </c>
      <c r="J760" s="16" t="s">
        <v>4672</v>
      </c>
      <c r="K760" s="16" t="s">
        <v>4673</v>
      </c>
      <c r="L760" s="16" t="s">
        <v>4672</v>
      </c>
      <c r="M760" s="16">
        <v>1999.0</v>
      </c>
      <c r="N760" s="18">
        <v>36294.0</v>
      </c>
      <c r="O760" s="18">
        <v>36294.0</v>
      </c>
      <c r="P760" s="16">
        <v>6141.0</v>
      </c>
      <c r="Q760" s="16">
        <v>6141.0</v>
      </c>
      <c r="R760" s="16">
        <v>20.0</v>
      </c>
      <c r="S760" s="4"/>
      <c r="T760" s="4"/>
      <c r="U760" s="4"/>
      <c r="V760" s="4"/>
      <c r="W760" s="4"/>
      <c r="X760" s="4"/>
      <c r="Y760" s="4"/>
    </row>
    <row r="761">
      <c r="A761" s="16" t="s">
        <v>4674</v>
      </c>
      <c r="B761" s="16">
        <v>1163842.0</v>
      </c>
      <c r="C761" s="8" t="s">
        <v>20</v>
      </c>
      <c r="D761" s="8" t="s">
        <v>4675</v>
      </c>
      <c r="E761" s="16" t="s">
        <v>4676</v>
      </c>
      <c r="F761" s="16">
        <v>1163842.0</v>
      </c>
      <c r="G761" s="4"/>
      <c r="H761" s="16">
        <v>1163842.0</v>
      </c>
      <c r="I761" s="16" t="s">
        <v>4677</v>
      </c>
      <c r="J761" s="16" t="s">
        <v>4678</v>
      </c>
      <c r="K761" s="16" t="s">
        <v>4679</v>
      </c>
      <c r="L761" s="16" t="s">
        <v>4678</v>
      </c>
      <c r="M761" s="16">
        <v>2002.0</v>
      </c>
      <c r="N761" s="4"/>
      <c r="O761" s="4"/>
      <c r="P761" s="16">
        <v>7373.0</v>
      </c>
      <c r="Q761" s="16">
        <v>7373.0</v>
      </c>
      <c r="R761" s="16">
        <v>18.0</v>
      </c>
      <c r="S761" s="4"/>
      <c r="T761" s="4"/>
      <c r="U761" s="4"/>
      <c r="V761" s="4"/>
      <c r="W761" s="4"/>
      <c r="X761" s="4"/>
      <c r="Y761" s="4"/>
    </row>
    <row r="762">
      <c r="A762" s="16" t="s">
        <v>4680</v>
      </c>
      <c r="B762" s="16">
        <v>31347.0</v>
      </c>
      <c r="C762" s="8" t="s">
        <v>20</v>
      </c>
      <c r="D762" s="8" t="s">
        <v>4681</v>
      </c>
      <c r="E762" s="16" t="s">
        <v>4682</v>
      </c>
      <c r="F762" s="16">
        <v>31347.0</v>
      </c>
      <c r="G762" s="4"/>
      <c r="H762" s="16">
        <v>31347.0</v>
      </c>
      <c r="I762" s="16" t="s">
        <v>4683</v>
      </c>
      <c r="J762" s="16" t="s">
        <v>4684</v>
      </c>
      <c r="K762" s="16" t="s">
        <v>4685</v>
      </c>
      <c r="L762" s="16" t="s">
        <v>4684</v>
      </c>
      <c r="M762" s="16">
        <v>1998.0</v>
      </c>
      <c r="N762" s="18">
        <v>36000.0</v>
      </c>
      <c r="O762" s="18">
        <v>36000.0</v>
      </c>
      <c r="P762" s="16">
        <v>7372.0</v>
      </c>
      <c r="Q762" s="16">
        <v>3576.0</v>
      </c>
      <c r="R762" s="16">
        <v>7.0</v>
      </c>
      <c r="S762" s="4"/>
      <c r="T762" s="4"/>
      <c r="U762" s="4"/>
      <c r="V762" s="4"/>
      <c r="W762" s="4"/>
      <c r="X762" s="4"/>
      <c r="Y762" s="4"/>
    </row>
    <row r="763">
      <c r="A763" s="16" t="s">
        <v>4686</v>
      </c>
      <c r="B763" s="16">
        <v>903419.0</v>
      </c>
      <c r="C763" s="8" t="s">
        <v>20</v>
      </c>
      <c r="D763" s="8" t="s">
        <v>4687</v>
      </c>
      <c r="E763" s="16" t="s">
        <v>4688</v>
      </c>
      <c r="F763" s="16">
        <v>903419.0</v>
      </c>
      <c r="G763" s="16">
        <v>903419.0</v>
      </c>
      <c r="H763" s="16">
        <v>903419.0</v>
      </c>
      <c r="I763" s="16" t="s">
        <v>4689</v>
      </c>
      <c r="J763" s="16" t="s">
        <v>4690</v>
      </c>
      <c r="K763" s="16" t="s">
        <v>4690</v>
      </c>
      <c r="L763" s="16" t="s">
        <v>4690</v>
      </c>
      <c r="M763" s="16">
        <v>2019.0</v>
      </c>
      <c r="N763" s="4"/>
      <c r="O763" s="4"/>
      <c r="P763" s="16">
        <v>6021.0</v>
      </c>
      <c r="Q763" s="16">
        <v>6020.0</v>
      </c>
      <c r="R763" s="16">
        <v>21.0</v>
      </c>
      <c r="S763" s="4"/>
      <c r="T763" s="4"/>
      <c r="U763" s="4"/>
      <c r="V763" s="4"/>
      <c r="W763" s="4"/>
      <c r="X763" s="4"/>
      <c r="Y763" s="4"/>
    </row>
    <row r="764">
      <c r="A764" s="16" t="s">
        <v>4691</v>
      </c>
      <c r="B764" s="16">
        <v>1081935.0</v>
      </c>
      <c r="C764" s="8" t="s">
        <v>20</v>
      </c>
      <c r="D764" s="8" t="s">
        <v>4692</v>
      </c>
      <c r="E764" s="16" t="s">
        <v>4693</v>
      </c>
      <c r="F764" s="4"/>
      <c r="G764" s="4"/>
      <c r="H764" s="16">
        <v>1081935.0</v>
      </c>
      <c r="I764" s="16">
        <v>777777.0</v>
      </c>
      <c r="J764" s="16" t="s">
        <v>4694</v>
      </c>
      <c r="K764" s="16" t="s">
        <v>4695</v>
      </c>
      <c r="L764" s="16" t="s">
        <v>4694</v>
      </c>
      <c r="M764" s="16">
        <v>2000.0</v>
      </c>
      <c r="N764" s="18">
        <v>36741.0</v>
      </c>
      <c r="O764" s="18">
        <v>36741.0</v>
      </c>
      <c r="P764" s="16">
        <v>8731.0</v>
      </c>
      <c r="Q764" s="16">
        <v>8731.0</v>
      </c>
      <c r="R764" s="16">
        <v>14.0</v>
      </c>
      <c r="S764" s="4"/>
      <c r="T764" s="4"/>
      <c r="U764" s="4"/>
      <c r="V764" s="4"/>
      <c r="W764" s="4"/>
      <c r="X764" s="4"/>
      <c r="Y764" s="4"/>
    </row>
    <row r="765">
      <c r="A765" s="16" t="s">
        <v>4696</v>
      </c>
      <c r="B765" s="16">
        <v>1000925.0</v>
      </c>
      <c r="C765" s="8" t="s">
        <v>20</v>
      </c>
      <c r="D765" s="8" t="s">
        <v>4697</v>
      </c>
      <c r="E765" s="16" t="s">
        <v>4698</v>
      </c>
      <c r="F765" s="16">
        <v>1000925.0</v>
      </c>
      <c r="G765" s="4"/>
      <c r="H765" s="16">
        <v>1000925.0</v>
      </c>
      <c r="I765" s="16">
        <v>896937.0</v>
      </c>
      <c r="J765" s="16" t="s">
        <v>4699</v>
      </c>
      <c r="K765" s="16" t="s">
        <v>4700</v>
      </c>
      <c r="L765" s="16" t="s">
        <v>4699</v>
      </c>
      <c r="M765" s="16">
        <v>1996.0</v>
      </c>
      <c r="N765" s="18">
        <v>35283.0</v>
      </c>
      <c r="O765" s="18">
        <v>35283.0</v>
      </c>
      <c r="P765" s="16">
        <v>7371.0</v>
      </c>
      <c r="Q765" s="16">
        <v>7372.0</v>
      </c>
      <c r="R765" s="16">
        <v>8.0</v>
      </c>
      <c r="S765" s="4"/>
      <c r="T765" s="4"/>
      <c r="U765" s="4"/>
      <c r="V765" s="4"/>
      <c r="W765" s="4"/>
      <c r="X765" s="4"/>
      <c r="Y765" s="4"/>
    </row>
    <row r="766">
      <c r="A766" s="16" t="s">
        <v>4701</v>
      </c>
      <c r="B766" s="16">
        <v>1888012.0</v>
      </c>
      <c r="C766" s="8" t="s">
        <v>20</v>
      </c>
      <c r="D766" s="8" t="s">
        <v>4702</v>
      </c>
      <c r="E766" s="16" t="s">
        <v>4703</v>
      </c>
      <c r="F766" s="16">
        <v>1888012.0</v>
      </c>
      <c r="G766" s="16">
        <v>1888012.0</v>
      </c>
      <c r="H766" s="16">
        <v>1888012.0</v>
      </c>
      <c r="I766" s="16" t="s">
        <v>4704</v>
      </c>
      <c r="J766" s="16" t="s">
        <v>4705</v>
      </c>
      <c r="K766" s="16" t="s">
        <v>4705</v>
      </c>
      <c r="L766" s="16" t="s">
        <v>4705</v>
      </c>
      <c r="M766" s="16">
        <v>2022.0</v>
      </c>
      <c r="N766" s="18">
        <v>44680.0</v>
      </c>
      <c r="O766" s="18">
        <v>44680.0</v>
      </c>
      <c r="P766" s="16">
        <v>8731.0</v>
      </c>
      <c r="Q766" s="16">
        <v>2836.0</v>
      </c>
      <c r="R766" s="16">
        <v>17.0</v>
      </c>
      <c r="S766" s="4"/>
      <c r="T766" s="4"/>
      <c r="U766" s="4"/>
      <c r="V766" s="4"/>
      <c r="W766" s="4"/>
      <c r="X766" s="4"/>
      <c r="Y766" s="4"/>
    </row>
    <row r="767">
      <c r="A767" s="16" t="s">
        <v>4706</v>
      </c>
      <c r="B767" s="16">
        <v>1462633.0</v>
      </c>
      <c r="C767" s="8" t="s">
        <v>20</v>
      </c>
      <c r="D767" s="8" t="s">
        <v>4707</v>
      </c>
      <c r="E767" s="16" t="s">
        <v>4708</v>
      </c>
      <c r="F767" s="16">
        <v>1462633.0</v>
      </c>
      <c r="G767" s="4"/>
      <c r="H767" s="16">
        <v>1462633.0</v>
      </c>
      <c r="I767" s="16" t="s">
        <v>4709</v>
      </c>
      <c r="J767" s="16" t="s">
        <v>4710</v>
      </c>
      <c r="K767" s="16" t="s">
        <v>4711</v>
      </c>
      <c r="L767" s="16" t="s">
        <v>4710</v>
      </c>
      <c r="M767" s="16">
        <v>2011.0</v>
      </c>
      <c r="N767" s="18">
        <v>40890.0</v>
      </c>
      <c r="O767" s="18">
        <v>40890.0</v>
      </c>
      <c r="P767" s="16">
        <v>7372.0</v>
      </c>
      <c r="Q767" s="16">
        <v>7372.0</v>
      </c>
      <c r="R767" s="16">
        <v>12.0</v>
      </c>
      <c r="S767" s="4"/>
      <c r="T767" s="4"/>
      <c r="U767" s="4"/>
      <c r="V767" s="4"/>
      <c r="W767" s="4"/>
      <c r="X767" s="4"/>
      <c r="Y767" s="4"/>
    </row>
    <row r="768">
      <c r="A768" s="16" t="s">
        <v>4712</v>
      </c>
      <c r="B768" s="16">
        <v>1434418.0</v>
      </c>
      <c r="C768" s="8" t="s">
        <v>20</v>
      </c>
      <c r="D768" s="8" t="s">
        <v>4713</v>
      </c>
      <c r="E768" s="16" t="s">
        <v>4714</v>
      </c>
      <c r="F768" s="16">
        <v>1434418.0</v>
      </c>
      <c r="G768" s="4"/>
      <c r="H768" s="16">
        <v>1434418.0</v>
      </c>
      <c r="I768" s="16">
        <v>210373.0</v>
      </c>
      <c r="J768" s="16" t="s">
        <v>4715</v>
      </c>
      <c r="K768" s="16" t="s">
        <v>4715</v>
      </c>
      <c r="L768" s="16" t="s">
        <v>4715</v>
      </c>
      <c r="M768" s="16">
        <v>2018.0</v>
      </c>
      <c r="N768" s="18">
        <v>43300.0</v>
      </c>
      <c r="O768" s="18">
        <v>43300.0</v>
      </c>
      <c r="P768" s="16">
        <v>8731.0</v>
      </c>
      <c r="Q768" s="16">
        <v>2836.0</v>
      </c>
      <c r="R768" s="16">
        <v>15.0</v>
      </c>
      <c r="S768" s="4"/>
      <c r="T768" s="4"/>
      <c r="U768" s="4"/>
      <c r="V768" s="4"/>
      <c r="W768" s="4"/>
      <c r="X768" s="4"/>
      <c r="Y768" s="4"/>
    </row>
    <row r="769">
      <c r="A769" s="16" t="s">
        <v>4716</v>
      </c>
      <c r="B769" s="16">
        <v>1750149.0</v>
      </c>
      <c r="C769" s="8" t="s">
        <v>20</v>
      </c>
      <c r="D769" s="8" t="s">
        <v>4717</v>
      </c>
      <c r="E769" s="16" t="s">
        <v>4718</v>
      </c>
      <c r="F769" s="16">
        <v>1750149.0</v>
      </c>
      <c r="G769" s="16">
        <v>1750149.0</v>
      </c>
      <c r="H769" s="16">
        <v>1750149.0</v>
      </c>
      <c r="I769" s="16" t="s">
        <v>4719</v>
      </c>
      <c r="J769" s="16" t="s">
        <v>4720</v>
      </c>
      <c r="K769" s="16" t="s">
        <v>4720</v>
      </c>
      <c r="L769" s="16" t="s">
        <v>4720</v>
      </c>
      <c r="M769" s="16">
        <v>2020.0</v>
      </c>
      <c r="N769" s="18">
        <v>44188.0</v>
      </c>
      <c r="O769" s="18">
        <v>44188.0</v>
      </c>
      <c r="P769" s="16">
        <v>8731.0</v>
      </c>
      <c r="Q769" s="16">
        <v>2836.0</v>
      </c>
      <c r="R769" s="16">
        <v>10.0</v>
      </c>
      <c r="S769" s="4"/>
      <c r="T769" s="4"/>
      <c r="U769" s="4"/>
      <c r="V769" s="4"/>
      <c r="W769" s="4"/>
      <c r="X769" s="4"/>
      <c r="Y769" s="4"/>
    </row>
    <row r="770">
      <c r="A770" s="16" t="s">
        <v>4721</v>
      </c>
      <c r="B770" s="16">
        <v>1355795.0</v>
      </c>
      <c r="C770" s="8" t="s">
        <v>20</v>
      </c>
      <c r="D770" s="8" t="s">
        <v>4722</v>
      </c>
      <c r="E770" s="16" t="s">
        <v>4723</v>
      </c>
      <c r="F770" s="16">
        <v>1355795.0</v>
      </c>
      <c r="G770" s="4"/>
      <c r="H770" s="16">
        <v>1355795.0</v>
      </c>
      <c r="I770" s="16">
        <v>237502.0</v>
      </c>
      <c r="J770" s="16" t="s">
        <v>4724</v>
      </c>
      <c r="K770" s="16" t="s">
        <v>4724</v>
      </c>
      <c r="L770" s="16" t="s">
        <v>4724</v>
      </c>
      <c r="M770" s="16">
        <v>2006.0</v>
      </c>
      <c r="N770" s="18">
        <v>38856.0</v>
      </c>
      <c r="O770" s="18">
        <v>38856.0</v>
      </c>
      <c r="P770" s="16">
        <v>6331.0</v>
      </c>
      <c r="Q770" s="16">
        <v>6331.0</v>
      </c>
      <c r="R770" s="16">
        <v>16.0</v>
      </c>
      <c r="S770" s="4"/>
      <c r="T770" s="4"/>
      <c r="U770" s="4"/>
      <c r="V770" s="4"/>
      <c r="W770" s="4"/>
      <c r="X770" s="4"/>
      <c r="Y770" s="4"/>
    </row>
    <row r="771">
      <c r="A771" s="16" t="s">
        <v>4725</v>
      </c>
      <c r="B771" s="16">
        <v>1519449.0</v>
      </c>
      <c r="C771" s="8" t="s">
        <v>20</v>
      </c>
      <c r="D771" s="8" t="s">
        <v>4726</v>
      </c>
      <c r="E771" s="16" t="s">
        <v>4727</v>
      </c>
      <c r="F771" s="16">
        <v>1519449.0</v>
      </c>
      <c r="G771" s="16">
        <v>1519449.0</v>
      </c>
      <c r="H771" s="16">
        <v>1519449.0</v>
      </c>
      <c r="I771" s="16">
        <v>830940.0</v>
      </c>
      <c r="J771" s="16" t="s">
        <v>4728</v>
      </c>
      <c r="K771" s="16" t="s">
        <v>4728</v>
      </c>
      <c r="L771" s="16" t="s">
        <v>4729</v>
      </c>
      <c r="M771" s="16">
        <v>2023.0</v>
      </c>
      <c r="N771" s="18">
        <v>44939.0</v>
      </c>
      <c r="O771" s="18">
        <v>44939.0</v>
      </c>
      <c r="P771" s="16">
        <v>6331.0</v>
      </c>
      <c r="Q771" s="16">
        <v>6331.0</v>
      </c>
      <c r="R771" s="16">
        <v>15.0</v>
      </c>
      <c r="S771" s="4"/>
      <c r="T771" s="4"/>
      <c r="U771" s="4"/>
      <c r="V771" s="4"/>
      <c r="W771" s="4"/>
      <c r="X771" s="4"/>
      <c r="Y771" s="4"/>
    </row>
    <row r="772">
      <c r="A772" s="16" t="s">
        <v>4730</v>
      </c>
      <c r="B772" s="16">
        <v>906420.0</v>
      </c>
      <c r="C772" s="8" t="s">
        <v>20</v>
      </c>
      <c r="D772" s="8" t="s">
        <v>4441</v>
      </c>
      <c r="E772" s="4"/>
      <c r="F772" s="4"/>
      <c r="G772" s="16">
        <v>927971.0</v>
      </c>
      <c r="H772" s="16">
        <v>906420.0</v>
      </c>
      <c r="I772" s="16">
        <v>65412.0</v>
      </c>
      <c r="J772" s="16" t="s">
        <v>4731</v>
      </c>
      <c r="K772" s="4"/>
      <c r="L772" s="16" t="s">
        <v>4731</v>
      </c>
      <c r="M772" s="16">
        <v>1996.0</v>
      </c>
      <c r="N772" s="4"/>
      <c r="O772" s="4"/>
      <c r="P772" s="16">
        <v>6035.0</v>
      </c>
      <c r="Q772" s="4"/>
      <c r="R772" s="16">
        <v>20.0</v>
      </c>
      <c r="S772" s="4"/>
      <c r="T772" s="4"/>
      <c r="U772" s="4"/>
      <c r="V772" s="4"/>
      <c r="W772" s="4"/>
      <c r="X772" s="4"/>
      <c r="Y772" s="4"/>
    </row>
    <row r="773">
      <c r="A773" s="16" t="s">
        <v>4732</v>
      </c>
      <c r="B773" s="16">
        <v>1112880.0</v>
      </c>
      <c r="C773" s="8" t="s">
        <v>20</v>
      </c>
      <c r="D773" s="8" t="s">
        <v>4733</v>
      </c>
      <c r="E773" s="4"/>
      <c r="F773" s="4"/>
      <c r="G773" s="4"/>
      <c r="H773" s="16">
        <v>1112880.0</v>
      </c>
      <c r="I773" s="16">
        <v>40175.0</v>
      </c>
      <c r="J773" s="16" t="s">
        <v>4734</v>
      </c>
      <c r="K773" s="4"/>
      <c r="L773" s="16" t="s">
        <v>4734</v>
      </c>
      <c r="M773" s="16">
        <v>2000.0</v>
      </c>
      <c r="N773" s="4"/>
      <c r="O773" s="4"/>
      <c r="P773" s="16">
        <v>8731.0</v>
      </c>
      <c r="Q773" s="4"/>
      <c r="R773" s="16">
        <v>15.0</v>
      </c>
      <c r="S773" s="4"/>
      <c r="T773" s="4"/>
      <c r="U773" s="4"/>
      <c r="V773" s="4"/>
      <c r="W773" s="4"/>
      <c r="X773" s="4"/>
      <c r="Y773" s="4"/>
    </row>
    <row r="774">
      <c r="A774" s="16" t="s">
        <v>4735</v>
      </c>
      <c r="B774" s="16">
        <v>1169652.0</v>
      </c>
      <c r="C774" s="8" t="s">
        <v>20</v>
      </c>
      <c r="D774" s="8" t="s">
        <v>4736</v>
      </c>
      <c r="E774" s="16" t="s">
        <v>4737</v>
      </c>
      <c r="F774" s="16">
        <v>1169652.0</v>
      </c>
      <c r="G774" s="4"/>
      <c r="H774" s="17">
        <v>1.40042500011696E36</v>
      </c>
      <c r="I774" s="16">
        <v>159179.0</v>
      </c>
      <c r="J774" s="16" t="s">
        <v>4738</v>
      </c>
      <c r="K774" s="16" t="s">
        <v>4738</v>
      </c>
      <c r="L774" s="16" t="s">
        <v>4738</v>
      </c>
      <c r="M774" s="16">
        <v>2013.0</v>
      </c>
      <c r="N774" s="18">
        <v>41417.0</v>
      </c>
      <c r="O774" s="18">
        <v>41417.0</v>
      </c>
      <c r="P774" s="16">
        <v>7372.0</v>
      </c>
      <c r="Q774" s="16">
        <v>7370.0</v>
      </c>
      <c r="R774" s="16">
        <v>14.0</v>
      </c>
      <c r="S774" s="4"/>
      <c r="T774" s="4"/>
      <c r="U774" s="4"/>
      <c r="V774" s="4"/>
      <c r="W774" s="4"/>
      <c r="X774" s="4"/>
      <c r="Y774" s="4"/>
    </row>
    <row r="775">
      <c r="A775" s="16" t="s">
        <v>4739</v>
      </c>
      <c r="B775" s="16">
        <v>1083087.0</v>
      </c>
      <c r="C775" s="8" t="s">
        <v>20</v>
      </c>
      <c r="D775" s="8" t="s">
        <v>4740</v>
      </c>
      <c r="E775" s="16" t="s">
        <v>4741</v>
      </c>
      <c r="F775" s="16">
        <v>1083087.0</v>
      </c>
      <c r="G775" s="4"/>
      <c r="H775" s="16">
        <v>1157368.0</v>
      </c>
      <c r="I775" s="16">
        <v>903404.0</v>
      </c>
      <c r="J775" s="16" t="s">
        <v>4742</v>
      </c>
      <c r="K775" s="16" t="s">
        <v>4743</v>
      </c>
      <c r="L775" s="16" t="s">
        <v>4744</v>
      </c>
      <c r="M775" s="16">
        <v>1999.0</v>
      </c>
      <c r="N775" s="18">
        <v>36336.0</v>
      </c>
      <c r="O775" s="18">
        <v>36336.0</v>
      </c>
      <c r="P775" s="16">
        <v>7375.0</v>
      </c>
      <c r="Q775" s="16">
        <v>7370.0</v>
      </c>
      <c r="R775" s="16">
        <v>9.0</v>
      </c>
      <c r="S775" s="4"/>
      <c r="T775" s="4"/>
      <c r="U775" s="4"/>
      <c r="V775" s="4"/>
      <c r="W775" s="4"/>
      <c r="X775" s="4"/>
      <c r="Y775" s="4"/>
    </row>
    <row r="776">
      <c r="A776" s="16" t="s">
        <v>4745</v>
      </c>
      <c r="B776" s="16">
        <v>1114084.0</v>
      </c>
      <c r="C776" s="8" t="s">
        <v>20</v>
      </c>
      <c r="D776" s="8" t="s">
        <v>4746</v>
      </c>
      <c r="E776" s="16" t="s">
        <v>4747</v>
      </c>
      <c r="F776" s="16">
        <v>1114084.0</v>
      </c>
      <c r="G776" s="4"/>
      <c r="H776" s="16">
        <v>1114084.0</v>
      </c>
      <c r="I776" s="16" t="s">
        <v>4748</v>
      </c>
      <c r="J776" s="16" t="s">
        <v>4749</v>
      </c>
      <c r="K776" s="16" t="s">
        <v>4750</v>
      </c>
      <c r="L776" s="16" t="s">
        <v>4749</v>
      </c>
      <c r="M776" s="16">
        <v>2003.0</v>
      </c>
      <c r="N776" s="4"/>
      <c r="O776" s="4"/>
      <c r="P776" s="16">
        <v>7372.0</v>
      </c>
      <c r="Q776" s="16">
        <v>7372.0</v>
      </c>
      <c r="R776" s="16">
        <v>14.0</v>
      </c>
      <c r="S776" s="4"/>
      <c r="T776" s="4"/>
      <c r="U776" s="4"/>
      <c r="V776" s="4"/>
      <c r="W776" s="4"/>
      <c r="X776" s="4"/>
      <c r="Y776" s="4"/>
    </row>
    <row r="777">
      <c r="A777" s="16" t="s">
        <v>4751</v>
      </c>
      <c r="B777" s="16">
        <v>1656536.0</v>
      </c>
      <c r="C777" s="8" t="s">
        <v>20</v>
      </c>
      <c r="D777" s="8" t="s">
        <v>4752</v>
      </c>
      <c r="E777" s="16" t="s">
        <v>4753</v>
      </c>
      <c r="F777" s="16">
        <v>1656536.0</v>
      </c>
      <c r="G777" s="4"/>
      <c r="H777" s="16">
        <v>1656536.0</v>
      </c>
      <c r="I777" s="16" t="s">
        <v>4754</v>
      </c>
      <c r="J777" s="16" t="s">
        <v>4755</v>
      </c>
      <c r="K777" s="16" t="s">
        <v>4755</v>
      </c>
      <c r="L777" s="16" t="s">
        <v>4755</v>
      </c>
      <c r="M777" s="16">
        <v>2021.0</v>
      </c>
      <c r="N777" s="18">
        <v>44239.0</v>
      </c>
      <c r="O777" s="18">
        <v>44239.0</v>
      </c>
      <c r="P777" s="16">
        <v>8731.0</v>
      </c>
      <c r="Q777" s="16">
        <v>2836.0</v>
      </c>
      <c r="R777" s="16">
        <v>18.0</v>
      </c>
      <c r="S777" s="4"/>
      <c r="T777" s="4"/>
      <c r="U777" s="4"/>
      <c r="V777" s="4"/>
      <c r="W777" s="4"/>
      <c r="X777" s="4"/>
      <c r="Y777" s="4"/>
    </row>
    <row r="778">
      <c r="A778" s="16" t="s">
        <v>4756</v>
      </c>
      <c r="B778" s="16">
        <v>1087194.0</v>
      </c>
      <c r="C778" s="8" t="s">
        <v>762</v>
      </c>
      <c r="D778" s="8" t="s">
        <v>4757</v>
      </c>
      <c r="E778" s="16" t="s">
        <v>4758</v>
      </c>
      <c r="F778" s="16">
        <v>1087194.0</v>
      </c>
      <c r="G778" s="4"/>
      <c r="H778" s="16">
        <v>1087194.0</v>
      </c>
      <c r="I778" s="16">
        <v>605047.0</v>
      </c>
      <c r="J778" s="16" t="s">
        <v>4759</v>
      </c>
      <c r="K778" s="16" t="s">
        <v>4759</v>
      </c>
      <c r="L778" s="16" t="s">
        <v>4759</v>
      </c>
      <c r="M778" s="16">
        <v>1999.0</v>
      </c>
      <c r="N778" s="18">
        <v>36377.0</v>
      </c>
      <c r="O778" s="18">
        <v>36377.0</v>
      </c>
      <c r="P778" s="16">
        <v>7372.0</v>
      </c>
      <c r="Q778" s="16">
        <v>7372.0</v>
      </c>
      <c r="R778" s="16">
        <v>16.0</v>
      </c>
      <c r="S778" s="4"/>
      <c r="T778" s="4"/>
      <c r="U778" s="4"/>
      <c r="V778" s="4"/>
      <c r="W778" s="4"/>
      <c r="X778" s="4"/>
      <c r="Y778" s="4"/>
    </row>
    <row r="779">
      <c r="A779" s="16" t="s">
        <v>4760</v>
      </c>
      <c r="B779" s="16">
        <v>1091756.0</v>
      </c>
      <c r="C779" s="8" t="s">
        <v>20</v>
      </c>
      <c r="D779" s="8" t="s">
        <v>4761</v>
      </c>
      <c r="E779" s="16" t="s">
        <v>4762</v>
      </c>
      <c r="F779" s="16">
        <v>1091756.0</v>
      </c>
      <c r="G779" s="4"/>
      <c r="H779" s="16">
        <v>1091756.0</v>
      </c>
      <c r="I779" s="16">
        <v>450732.0</v>
      </c>
      <c r="J779" s="16" t="s">
        <v>4763</v>
      </c>
      <c r="K779" s="16" t="s">
        <v>4763</v>
      </c>
      <c r="L779" s="16" t="s">
        <v>4763</v>
      </c>
      <c r="M779" s="16">
        <v>1999.0</v>
      </c>
      <c r="N779" s="4"/>
      <c r="O779" s="4"/>
      <c r="P779" s="16">
        <v>7375.0</v>
      </c>
      <c r="Q779" s="16">
        <v>4899.0</v>
      </c>
      <c r="R779" s="16">
        <v>16.0</v>
      </c>
      <c r="S779" s="4"/>
      <c r="T779" s="4"/>
      <c r="U779" s="4"/>
      <c r="V779" s="4"/>
      <c r="W779" s="4"/>
      <c r="X779" s="4"/>
      <c r="Y779" s="4"/>
    </row>
    <row r="780">
      <c r="A780" s="16" t="s">
        <v>4764</v>
      </c>
      <c r="B780" s="16">
        <v>916606.0</v>
      </c>
      <c r="C780" s="8" t="s">
        <v>20</v>
      </c>
      <c r="D780" s="8" t="s">
        <v>4765</v>
      </c>
      <c r="E780" s="16" t="s">
        <v>4766</v>
      </c>
      <c r="F780" s="16">
        <v>916606.0</v>
      </c>
      <c r="G780" s="4"/>
      <c r="H780" s="16">
        <v>916606.0</v>
      </c>
      <c r="I780" s="16" t="s">
        <v>4767</v>
      </c>
      <c r="J780" s="16" t="s">
        <v>4768</v>
      </c>
      <c r="K780" s="16" t="s">
        <v>4768</v>
      </c>
      <c r="L780" s="16" t="s">
        <v>4768</v>
      </c>
      <c r="M780" s="16">
        <v>1994.0</v>
      </c>
      <c r="N780" s="18">
        <v>34360.0</v>
      </c>
      <c r="O780" s="18">
        <v>34360.0</v>
      </c>
      <c r="P780" s="16">
        <v>7361.0</v>
      </c>
      <c r="Q780" s="16">
        <v>7363.0</v>
      </c>
      <c r="R780" s="16">
        <v>8.5</v>
      </c>
      <c r="S780" s="4"/>
      <c r="T780" s="4"/>
      <c r="U780" s="4"/>
      <c r="V780" s="4"/>
      <c r="W780" s="4"/>
      <c r="X780" s="4"/>
      <c r="Y780" s="4"/>
    </row>
    <row r="781">
      <c r="A781" s="16" t="s">
        <v>4769</v>
      </c>
      <c r="B781" s="16">
        <v>1007297.0</v>
      </c>
      <c r="C781" s="8" t="s">
        <v>20</v>
      </c>
      <c r="D781" s="8" t="s">
        <v>4770</v>
      </c>
      <c r="E781" s="16" t="s">
        <v>4771</v>
      </c>
      <c r="F781" s="16">
        <v>1007297.0</v>
      </c>
      <c r="G781" s="4"/>
      <c r="H781" s="17">
        <v>1.00729700015385E16</v>
      </c>
      <c r="I781" s="16">
        <v>300904.0</v>
      </c>
      <c r="J781" s="16" t="s">
        <v>4772</v>
      </c>
      <c r="K781" s="16" t="s">
        <v>4772</v>
      </c>
      <c r="L781" s="16" t="s">
        <v>4772</v>
      </c>
      <c r="M781" s="16">
        <v>1996.0</v>
      </c>
      <c r="N781" s="18">
        <v>35158.0</v>
      </c>
      <c r="O781" s="18">
        <v>35158.0</v>
      </c>
      <c r="P781" s="16">
        <v>7372.0</v>
      </c>
      <c r="Q781" s="16">
        <v>7370.0</v>
      </c>
      <c r="R781" s="16">
        <v>17.0</v>
      </c>
      <c r="S781" s="4"/>
      <c r="T781" s="4"/>
      <c r="U781" s="4"/>
      <c r="V781" s="4"/>
      <c r="W781" s="4"/>
      <c r="X781" s="4"/>
      <c r="Y781" s="4"/>
    </row>
    <row r="782">
      <c r="A782" s="16" t="s">
        <v>4773</v>
      </c>
      <c r="B782" s="16">
        <v>1013316.0</v>
      </c>
      <c r="C782" s="8" t="s">
        <v>20</v>
      </c>
      <c r="D782" s="8" t="s">
        <v>4774</v>
      </c>
      <c r="E782" s="16" t="s">
        <v>4775</v>
      </c>
      <c r="F782" s="16">
        <v>1013316.0</v>
      </c>
      <c r="G782" s="4"/>
      <c r="H782" s="16">
        <v>1013316.0</v>
      </c>
      <c r="I782" s="16">
        <v>690131.0</v>
      </c>
      <c r="J782" s="16" t="s">
        <v>4776</v>
      </c>
      <c r="K782" s="16" t="s">
        <v>4777</v>
      </c>
      <c r="L782" s="16" t="s">
        <v>4776</v>
      </c>
      <c r="M782" s="16">
        <v>1997.0</v>
      </c>
      <c r="N782" s="18">
        <v>35727.0</v>
      </c>
      <c r="O782" s="18">
        <v>35727.0</v>
      </c>
      <c r="P782" s="16">
        <v>7363.0</v>
      </c>
      <c r="Q782" s="16">
        <v>7363.0</v>
      </c>
      <c r="R782" s="16">
        <v>15.0</v>
      </c>
      <c r="S782" s="4"/>
      <c r="T782" s="4"/>
      <c r="U782" s="4"/>
      <c r="V782" s="4"/>
      <c r="W782" s="4"/>
      <c r="X782" s="4"/>
      <c r="Y782" s="4"/>
    </row>
    <row r="783">
      <c r="A783" s="16" t="s">
        <v>4778</v>
      </c>
      <c r="B783" s="16">
        <v>1081404.0</v>
      </c>
      <c r="C783" s="8" t="s">
        <v>749</v>
      </c>
      <c r="D783" s="8" t="s">
        <v>4779</v>
      </c>
      <c r="E783" s="16" t="s">
        <v>4780</v>
      </c>
      <c r="F783" s="16">
        <v>1081404.0</v>
      </c>
      <c r="G783" s="4"/>
      <c r="H783" s="16">
        <v>1081404.0</v>
      </c>
      <c r="I783" s="16" t="s">
        <v>4781</v>
      </c>
      <c r="J783" s="16" t="s">
        <v>4782</v>
      </c>
      <c r="K783" s="16" t="s">
        <v>4783</v>
      </c>
      <c r="L783" s="16" t="s">
        <v>4782</v>
      </c>
      <c r="M783" s="16">
        <v>1999.0</v>
      </c>
      <c r="N783" s="18">
        <v>36447.0</v>
      </c>
      <c r="O783" s="18">
        <v>36447.0</v>
      </c>
      <c r="P783" s="16">
        <v>7389.0</v>
      </c>
      <c r="Q783" s="16">
        <v>7389.0</v>
      </c>
      <c r="R783" s="16">
        <v>12.0</v>
      </c>
      <c r="S783" s="4"/>
      <c r="T783" s="4"/>
      <c r="U783" s="4"/>
      <c r="V783" s="4"/>
      <c r="W783" s="4"/>
      <c r="X783" s="4"/>
      <c r="Y783" s="4"/>
    </row>
    <row r="784">
      <c r="A784" s="16" t="s">
        <v>4784</v>
      </c>
      <c r="B784" s="16">
        <v>1466538.0</v>
      </c>
      <c r="C784" s="8" t="s">
        <v>20</v>
      </c>
      <c r="D784" s="8" t="s">
        <v>4785</v>
      </c>
      <c r="E784" s="16" t="s">
        <v>4786</v>
      </c>
      <c r="F784" s="16">
        <v>1466538.0</v>
      </c>
      <c r="G784" s="4"/>
      <c r="H784" s="17">
        <v>1.35500700014665E16</v>
      </c>
      <c r="I784" s="16">
        <v>223622.0</v>
      </c>
      <c r="J784" s="16" t="s">
        <v>4787</v>
      </c>
      <c r="K784" s="16" t="s">
        <v>4787</v>
      </c>
      <c r="L784" s="16" t="s">
        <v>4788</v>
      </c>
      <c r="M784" s="16">
        <v>2006.0</v>
      </c>
      <c r="N784" s="4"/>
      <c r="O784" s="4"/>
      <c r="P784" s="16">
        <v>6211.0</v>
      </c>
      <c r="Q784" s="16">
        <v>6282.0</v>
      </c>
      <c r="R784" s="16">
        <v>16.0</v>
      </c>
      <c r="S784" s="4"/>
      <c r="T784" s="4"/>
      <c r="U784" s="4"/>
      <c r="V784" s="4"/>
      <c r="W784" s="4"/>
      <c r="X784" s="4"/>
      <c r="Y784" s="4"/>
    </row>
    <row r="785">
      <c r="A785" s="16" t="s">
        <v>4789</v>
      </c>
      <c r="B785" s="16">
        <v>1003957.0</v>
      </c>
      <c r="C785" s="8" t="s">
        <v>20</v>
      </c>
      <c r="D785" s="8" t="s">
        <v>4790</v>
      </c>
      <c r="E785" s="16" t="s">
        <v>4791</v>
      </c>
      <c r="F785" s="16">
        <v>1003957.0</v>
      </c>
      <c r="G785" s="4"/>
      <c r="H785" s="16">
        <v>1003957.0</v>
      </c>
      <c r="I785" s="16">
        <v>767597.0</v>
      </c>
      <c r="J785" s="16" t="s">
        <v>4792</v>
      </c>
      <c r="K785" s="16" t="s">
        <v>4793</v>
      </c>
      <c r="L785" s="16" t="s">
        <v>4792</v>
      </c>
      <c r="M785" s="16">
        <v>1996.0</v>
      </c>
      <c r="N785" s="18">
        <v>35123.0</v>
      </c>
      <c r="O785" s="18">
        <v>35123.0</v>
      </c>
      <c r="P785" s="16">
        <v>6331.0</v>
      </c>
      <c r="Q785" s="16">
        <v>6799.0</v>
      </c>
      <c r="R785" s="16">
        <v>19.0</v>
      </c>
      <c r="S785" s="4"/>
      <c r="T785" s="4"/>
      <c r="U785" s="4"/>
      <c r="V785" s="4"/>
      <c r="W785" s="4"/>
      <c r="X785" s="4"/>
      <c r="Y785" s="4"/>
    </row>
    <row r="786">
      <c r="A786" s="16" t="s">
        <v>4794</v>
      </c>
      <c r="B786" s="16">
        <v>1070380.0</v>
      </c>
      <c r="C786" s="8" t="s">
        <v>20</v>
      </c>
      <c r="D786" s="8" t="s">
        <v>4795</v>
      </c>
      <c r="E786" s="16" t="s">
        <v>4796</v>
      </c>
      <c r="F786" s="16">
        <v>1070380.0</v>
      </c>
      <c r="G786" s="16">
        <v>828803.0</v>
      </c>
      <c r="H786" s="16">
        <v>1070380.0</v>
      </c>
      <c r="I786" s="16">
        <v>784932.0</v>
      </c>
      <c r="J786" s="16" t="s">
        <v>4797</v>
      </c>
      <c r="K786" s="16" t="s">
        <v>4798</v>
      </c>
      <c r="L786" s="16" t="s">
        <v>4797</v>
      </c>
      <c r="M786" s="16">
        <v>2000.0</v>
      </c>
      <c r="N786" s="18">
        <v>36623.0</v>
      </c>
      <c r="O786" s="18">
        <v>36623.0</v>
      </c>
      <c r="P786" s="16">
        <v>7372.0</v>
      </c>
      <c r="Q786" s="16">
        <v>7370.0</v>
      </c>
      <c r="R786" s="16">
        <v>15.0</v>
      </c>
      <c r="S786" s="4"/>
      <c r="T786" s="4"/>
      <c r="U786" s="4"/>
      <c r="V786" s="4"/>
      <c r="W786" s="4"/>
      <c r="X786" s="4"/>
      <c r="Y786" s="4"/>
    </row>
    <row r="787">
      <c r="A787" s="16" t="s">
        <v>4799</v>
      </c>
      <c r="B787" s="16">
        <v>1645666.0</v>
      </c>
      <c r="C787" s="8" t="s">
        <v>20</v>
      </c>
      <c r="D787" s="8" t="s">
        <v>4800</v>
      </c>
      <c r="E787" s="4"/>
      <c r="F787" s="4"/>
      <c r="G787" s="16">
        <v>1645666.0</v>
      </c>
      <c r="H787" s="16">
        <v>1645666.0</v>
      </c>
      <c r="I787" s="16" t="s">
        <v>4801</v>
      </c>
      <c r="J787" s="16" t="s">
        <v>4802</v>
      </c>
      <c r="K787" s="4"/>
      <c r="L787" s="16" t="s">
        <v>4802</v>
      </c>
      <c r="M787" s="16">
        <v>2018.0</v>
      </c>
      <c r="N787" s="4"/>
      <c r="O787" s="4"/>
      <c r="P787" s="16">
        <v>8731.0</v>
      </c>
      <c r="Q787" s="4"/>
      <c r="R787" s="16">
        <v>15.0</v>
      </c>
      <c r="S787" s="4"/>
      <c r="T787" s="4"/>
      <c r="U787" s="4"/>
      <c r="V787" s="4"/>
      <c r="W787" s="4"/>
      <c r="X787" s="4"/>
      <c r="Y787" s="4"/>
    </row>
    <row r="788">
      <c r="A788" s="16" t="s">
        <v>4803</v>
      </c>
      <c r="B788" s="16">
        <v>1009304.0</v>
      </c>
      <c r="C788" s="8" t="s">
        <v>20</v>
      </c>
      <c r="D788" s="8" t="s">
        <v>4804</v>
      </c>
      <c r="E788" s="16" t="s">
        <v>4805</v>
      </c>
      <c r="F788" s="16">
        <v>1009304.0</v>
      </c>
      <c r="G788" s="4"/>
      <c r="H788" s="16">
        <v>1009304.0</v>
      </c>
      <c r="I788" s="16">
        <v>465754.0</v>
      </c>
      <c r="J788" s="16" t="s">
        <v>4806</v>
      </c>
      <c r="K788" s="16" t="s">
        <v>4807</v>
      </c>
      <c r="L788" s="16" t="s">
        <v>4806</v>
      </c>
      <c r="M788" s="16">
        <v>1996.0</v>
      </c>
      <c r="N788" s="18">
        <v>35180.0</v>
      </c>
      <c r="O788" s="18">
        <v>35180.0</v>
      </c>
      <c r="P788" s="16">
        <v>7372.0</v>
      </c>
      <c r="Q788" s="16">
        <v>7372.0</v>
      </c>
      <c r="R788" s="16">
        <v>20.0</v>
      </c>
      <c r="S788" s="4"/>
      <c r="T788" s="4"/>
      <c r="U788" s="4"/>
      <c r="V788" s="4"/>
      <c r="W788" s="4"/>
      <c r="X788" s="4"/>
      <c r="Y788" s="4"/>
    </row>
    <row r="789">
      <c r="A789" s="16" t="s">
        <v>4808</v>
      </c>
      <c r="B789" s="16">
        <v>1013021.0</v>
      </c>
      <c r="C789" s="8" t="s">
        <v>20</v>
      </c>
      <c r="D789" s="8" t="s">
        <v>4809</v>
      </c>
      <c r="E789" s="16" t="s">
        <v>4810</v>
      </c>
      <c r="F789" s="16">
        <v>1013021.0</v>
      </c>
      <c r="G789" s="4"/>
      <c r="H789" s="16">
        <v>1013021.0</v>
      </c>
      <c r="I789" s="16" t="s">
        <v>4811</v>
      </c>
      <c r="J789" s="16" t="s">
        <v>4812</v>
      </c>
      <c r="K789" s="16" t="s">
        <v>4812</v>
      </c>
      <c r="L789" s="16" t="s">
        <v>4812</v>
      </c>
      <c r="M789" s="16">
        <v>1996.0</v>
      </c>
      <c r="N789" s="18">
        <v>35264.0</v>
      </c>
      <c r="O789" s="18">
        <v>35264.0</v>
      </c>
      <c r="P789" s="16">
        <v>7389.0</v>
      </c>
      <c r="Q789" s="16">
        <v>7200.0</v>
      </c>
      <c r="R789" s="16">
        <v>14.0</v>
      </c>
      <c r="S789" s="4"/>
      <c r="T789" s="4"/>
      <c r="U789" s="4"/>
      <c r="V789" s="4"/>
      <c r="W789" s="4"/>
      <c r="X789" s="4"/>
      <c r="Y789" s="4"/>
    </row>
    <row r="790">
      <c r="A790" s="16" t="s">
        <v>4813</v>
      </c>
      <c r="B790" s="16">
        <v>1801777.0</v>
      </c>
      <c r="C790" s="8" t="s">
        <v>20</v>
      </c>
      <c r="D790" s="8" t="s">
        <v>4814</v>
      </c>
      <c r="E790" s="16" t="s">
        <v>4815</v>
      </c>
      <c r="F790" s="16">
        <v>1801777.0</v>
      </c>
      <c r="G790" s="4"/>
      <c r="H790" s="16">
        <v>1801777.0</v>
      </c>
      <c r="I790" s="16" t="s">
        <v>4816</v>
      </c>
      <c r="J790" s="16" t="s">
        <v>4817</v>
      </c>
      <c r="K790" s="16" t="s">
        <v>4817</v>
      </c>
      <c r="L790" s="4"/>
      <c r="M790" s="16">
        <v>2020.0</v>
      </c>
      <c r="N790" s="18">
        <v>43987.0</v>
      </c>
      <c r="O790" s="18">
        <v>43987.0</v>
      </c>
      <c r="P790" s="16">
        <v>8731.0</v>
      </c>
      <c r="Q790" s="16">
        <v>2836.0</v>
      </c>
      <c r="R790" s="16">
        <v>14.0</v>
      </c>
      <c r="S790" s="4"/>
      <c r="T790" s="4"/>
      <c r="U790" s="4"/>
      <c r="V790" s="4"/>
      <c r="W790" s="4"/>
      <c r="X790" s="4"/>
      <c r="Y790" s="4"/>
    </row>
    <row r="791">
      <c r="A791" s="16" t="s">
        <v>4818</v>
      </c>
      <c r="B791" s="16">
        <v>879283.0</v>
      </c>
      <c r="C791" s="8" t="s">
        <v>20</v>
      </c>
      <c r="D791" s="8" t="s">
        <v>4819</v>
      </c>
      <c r="E791" s="16" t="s">
        <v>4820</v>
      </c>
      <c r="F791" s="16">
        <v>879283.0</v>
      </c>
      <c r="G791" s="4"/>
      <c r="H791" s="17">
        <v>1.59463700008792E16</v>
      </c>
      <c r="I791" s="16">
        <v>464902.0</v>
      </c>
      <c r="J791" s="16" t="s">
        <v>4821</v>
      </c>
      <c r="K791" s="16" t="s">
        <v>4822</v>
      </c>
      <c r="L791" s="16" t="s">
        <v>4821</v>
      </c>
      <c r="M791" s="16">
        <v>1996.0</v>
      </c>
      <c r="N791" s="18">
        <v>35140.0</v>
      </c>
      <c r="O791" s="18">
        <v>35140.0</v>
      </c>
      <c r="P791" s="16">
        <v>7371.0</v>
      </c>
      <c r="Q791" s="16">
        <v>7372.0</v>
      </c>
      <c r="R791" s="16">
        <v>9.0</v>
      </c>
      <c r="S791" s="4"/>
      <c r="T791" s="4"/>
      <c r="U791" s="4"/>
      <c r="V791" s="4"/>
      <c r="W791" s="4"/>
      <c r="X791" s="4"/>
      <c r="Y791" s="4"/>
    </row>
    <row r="792">
      <c r="A792" s="16" t="s">
        <v>4823</v>
      </c>
      <c r="B792" s="16">
        <v>1021080.0</v>
      </c>
      <c r="C792" s="8" t="s">
        <v>20</v>
      </c>
      <c r="D792" s="8" t="s">
        <v>4824</v>
      </c>
      <c r="E792" s="4"/>
      <c r="F792" s="4"/>
      <c r="G792" s="4"/>
      <c r="H792" s="16">
        <v>1021080.0</v>
      </c>
      <c r="I792" s="16">
        <v>2553.0</v>
      </c>
      <c r="J792" s="16" t="s">
        <v>4825</v>
      </c>
      <c r="K792" s="4"/>
      <c r="L792" s="16" t="s">
        <v>4825</v>
      </c>
      <c r="M792" s="16">
        <v>1996.0</v>
      </c>
      <c r="N792" s="4"/>
      <c r="O792" s="4"/>
      <c r="P792" s="16">
        <v>7331.0</v>
      </c>
      <c r="Q792" s="4"/>
      <c r="R792" s="16">
        <v>14.0</v>
      </c>
      <c r="S792" s="4"/>
      <c r="T792" s="4"/>
      <c r="U792" s="4"/>
      <c r="V792" s="4"/>
      <c r="W792" s="4"/>
      <c r="X792" s="4"/>
      <c r="Y792" s="4"/>
    </row>
    <row r="793">
      <c r="A793" s="16" t="s">
        <v>4826</v>
      </c>
      <c r="B793" s="16">
        <v>1169988.0</v>
      </c>
      <c r="C793" s="8" t="s">
        <v>20</v>
      </c>
      <c r="D793" s="8" t="s">
        <v>4827</v>
      </c>
      <c r="E793" s="16" t="s">
        <v>4828</v>
      </c>
      <c r="F793" s="16">
        <v>1169988.0</v>
      </c>
      <c r="G793" s="4"/>
      <c r="H793" s="17">
        <v>1.16998800011699E16</v>
      </c>
      <c r="I793" s="16" t="s">
        <v>4829</v>
      </c>
      <c r="J793" s="16" t="s">
        <v>4830</v>
      </c>
      <c r="K793" s="16" t="s">
        <v>4830</v>
      </c>
      <c r="L793" s="16" t="s">
        <v>4830</v>
      </c>
      <c r="M793" s="16">
        <v>2011.0</v>
      </c>
      <c r="N793" s="18">
        <v>40667.0</v>
      </c>
      <c r="O793" s="18">
        <v>40667.0</v>
      </c>
      <c r="P793" s="16">
        <v>7375.0</v>
      </c>
      <c r="Q793" s="16">
        <v>4899.0</v>
      </c>
      <c r="R793" s="16">
        <v>13.5</v>
      </c>
      <c r="S793" s="4"/>
      <c r="T793" s="4"/>
      <c r="U793" s="4"/>
      <c r="V793" s="4"/>
      <c r="W793" s="4"/>
      <c r="X793" s="4"/>
      <c r="Y793" s="4"/>
    </row>
    <row r="794">
      <c r="A794" s="16" t="s">
        <v>4831</v>
      </c>
      <c r="B794" s="16">
        <v>1179929.0</v>
      </c>
      <c r="C794" s="8" t="s">
        <v>20</v>
      </c>
      <c r="D794" s="8" t="s">
        <v>4832</v>
      </c>
      <c r="E794" s="16" t="s">
        <v>4833</v>
      </c>
      <c r="F794" s="16">
        <v>1179929.0</v>
      </c>
      <c r="G794" s="16">
        <v>1179929.0</v>
      </c>
      <c r="H794" s="17">
        <v>1.17992900011799E16</v>
      </c>
      <c r="I794" s="16" t="s">
        <v>4834</v>
      </c>
      <c r="J794" s="16" t="s">
        <v>4835</v>
      </c>
      <c r="K794" s="16" t="s">
        <v>4835</v>
      </c>
      <c r="L794" s="16" t="s">
        <v>4835</v>
      </c>
      <c r="M794" s="16">
        <v>2003.0</v>
      </c>
      <c r="N794" s="18">
        <v>37804.0</v>
      </c>
      <c r="O794" s="18">
        <v>37804.0</v>
      </c>
      <c r="P794" s="16">
        <v>6324.0</v>
      </c>
      <c r="Q794" s="16">
        <v>6324.0</v>
      </c>
      <c r="R794" s="16">
        <v>17.5</v>
      </c>
      <c r="S794" s="4"/>
      <c r="T794" s="4"/>
      <c r="U794" s="4"/>
      <c r="V794" s="4"/>
      <c r="W794" s="4"/>
      <c r="X794" s="4"/>
      <c r="Y794" s="4"/>
    </row>
    <row r="795">
      <c r="A795" s="16" t="s">
        <v>4836</v>
      </c>
      <c r="B795" s="16">
        <v>1658551.0</v>
      </c>
      <c r="C795" s="8" t="s">
        <v>20</v>
      </c>
      <c r="D795" s="8" t="s">
        <v>4837</v>
      </c>
      <c r="E795" s="16" t="s">
        <v>4838</v>
      </c>
      <c r="F795" s="16">
        <v>1658551.0</v>
      </c>
      <c r="G795" s="16">
        <v>1658551.0</v>
      </c>
      <c r="H795" s="16">
        <v>1658551.0</v>
      </c>
      <c r="I795" s="16" t="s">
        <v>4839</v>
      </c>
      <c r="J795" s="16" t="s">
        <v>4840</v>
      </c>
      <c r="K795" s="16" t="s">
        <v>4840</v>
      </c>
      <c r="L795" s="16" t="s">
        <v>4840</v>
      </c>
      <c r="M795" s="16">
        <v>2022.0</v>
      </c>
      <c r="N795" s="18">
        <v>44568.0</v>
      </c>
      <c r="O795" s="18">
        <v>44568.0</v>
      </c>
      <c r="P795" s="16">
        <v>8731.0</v>
      </c>
      <c r="Q795" s="16">
        <v>2834.0</v>
      </c>
      <c r="R795" s="16">
        <v>19.0</v>
      </c>
      <c r="S795" s="4"/>
      <c r="T795" s="4"/>
      <c r="U795" s="4"/>
      <c r="V795" s="4"/>
      <c r="W795" s="4"/>
      <c r="X795" s="4"/>
      <c r="Y795" s="4"/>
    </row>
    <row r="796">
      <c r="A796" s="16" t="s">
        <v>4841</v>
      </c>
      <c r="B796" s="16">
        <v>922285.0</v>
      </c>
      <c r="C796" s="8" t="s">
        <v>20</v>
      </c>
      <c r="D796" s="8" t="s">
        <v>4842</v>
      </c>
      <c r="E796" s="4"/>
      <c r="F796" s="4"/>
      <c r="G796" s="4"/>
      <c r="H796" s="16">
        <v>922285.0</v>
      </c>
      <c r="I796" s="16">
        <v>373692.0</v>
      </c>
      <c r="J796" s="16" t="s">
        <v>4843</v>
      </c>
      <c r="K796" s="4"/>
      <c r="L796" s="16" t="s">
        <v>4843</v>
      </c>
      <c r="M796" s="16">
        <v>1994.0</v>
      </c>
      <c r="N796" s="4"/>
      <c r="O796" s="4"/>
      <c r="P796" s="16">
        <v>7372.0</v>
      </c>
      <c r="Q796" s="4"/>
      <c r="R796" s="16">
        <v>6.0</v>
      </c>
      <c r="S796" s="4"/>
      <c r="T796" s="4"/>
      <c r="U796" s="4"/>
      <c r="V796" s="4"/>
      <c r="W796" s="4"/>
      <c r="X796" s="4"/>
      <c r="Y796" s="4"/>
    </row>
    <row r="797">
      <c r="A797" s="16" t="s">
        <v>4844</v>
      </c>
      <c r="B797" s="16">
        <v>1297568.0</v>
      </c>
      <c r="C797" s="8" t="s">
        <v>20</v>
      </c>
      <c r="D797" s="8" t="s">
        <v>4845</v>
      </c>
      <c r="E797" s="16" t="s">
        <v>4846</v>
      </c>
      <c r="F797" s="16">
        <v>1297568.0</v>
      </c>
      <c r="G797" s="4"/>
      <c r="H797" s="16">
        <v>1297568.0</v>
      </c>
      <c r="I797" s="16" t="s">
        <v>4847</v>
      </c>
      <c r="J797" s="16" t="s">
        <v>4848</v>
      </c>
      <c r="K797" s="16" t="s">
        <v>4848</v>
      </c>
      <c r="L797" s="16" t="s">
        <v>4848</v>
      </c>
      <c r="M797" s="16">
        <v>2004.0</v>
      </c>
      <c r="N797" s="18">
        <v>38309.0</v>
      </c>
      <c r="O797" s="18">
        <v>38309.0</v>
      </c>
      <c r="P797" s="16">
        <v>6331.0</v>
      </c>
      <c r="Q797" s="16">
        <v>6331.0</v>
      </c>
      <c r="R797" s="16">
        <v>9.5</v>
      </c>
      <c r="S797" s="4"/>
      <c r="T797" s="4"/>
      <c r="U797" s="4"/>
      <c r="V797" s="4"/>
      <c r="W797" s="4"/>
      <c r="X797" s="4"/>
      <c r="Y797" s="4"/>
    </row>
    <row r="798">
      <c r="A798" s="16" t="s">
        <v>4849</v>
      </c>
      <c r="B798" s="16">
        <v>1025536.0</v>
      </c>
      <c r="C798" s="8" t="s">
        <v>20</v>
      </c>
      <c r="D798" s="8" t="s">
        <v>4850</v>
      </c>
      <c r="E798" s="16" t="s">
        <v>4851</v>
      </c>
      <c r="F798" s="16">
        <v>1025536.0</v>
      </c>
      <c r="G798" s="4"/>
      <c r="H798" s="16">
        <v>1025536.0</v>
      </c>
      <c r="I798" s="16">
        <v>876851.0</v>
      </c>
      <c r="J798" s="16" t="s">
        <v>4852</v>
      </c>
      <c r="K798" s="16" t="s">
        <v>4852</v>
      </c>
      <c r="L798" s="16" t="s">
        <v>4852</v>
      </c>
      <c r="M798" s="16">
        <v>2002.0</v>
      </c>
      <c r="N798" s="18">
        <v>37545.0</v>
      </c>
      <c r="O798" s="18">
        <v>37545.0</v>
      </c>
      <c r="P798" s="16">
        <v>6022.0</v>
      </c>
      <c r="Q798" s="16">
        <v>6020.0</v>
      </c>
      <c r="R798" s="16">
        <v>16.5</v>
      </c>
      <c r="S798" s="4"/>
      <c r="T798" s="4"/>
      <c r="U798" s="4"/>
      <c r="V798" s="4"/>
      <c r="W798" s="4"/>
      <c r="X798" s="4"/>
      <c r="Y798" s="4"/>
    </row>
    <row r="799">
      <c r="A799" s="16" t="s">
        <v>4853</v>
      </c>
      <c r="B799" s="16">
        <v>1823529.0</v>
      </c>
      <c r="C799" s="8" t="s">
        <v>20</v>
      </c>
      <c r="D799" s="8" t="s">
        <v>4854</v>
      </c>
      <c r="E799" s="16" t="s">
        <v>4855</v>
      </c>
      <c r="F799" s="16">
        <v>1823529.0</v>
      </c>
      <c r="G799" s="16">
        <v>1823529.0</v>
      </c>
      <c r="H799" s="16">
        <v>1823529.0</v>
      </c>
      <c r="I799" s="16" t="s">
        <v>4856</v>
      </c>
      <c r="J799" s="16" t="s">
        <v>4857</v>
      </c>
      <c r="K799" s="16" t="s">
        <v>4857</v>
      </c>
      <c r="L799" s="16" t="s">
        <v>3812</v>
      </c>
      <c r="M799" s="16">
        <v>2021.0</v>
      </c>
      <c r="N799" s="18">
        <v>44455.0</v>
      </c>
      <c r="O799" s="18">
        <v>44455.0</v>
      </c>
      <c r="P799" s="16">
        <v>6111.0</v>
      </c>
      <c r="Q799" s="16">
        <v>6351.0</v>
      </c>
      <c r="R799" s="16">
        <v>19.0</v>
      </c>
      <c r="S799" s="4"/>
      <c r="T799" s="4"/>
      <c r="U799" s="4"/>
      <c r="V799" s="4"/>
      <c r="W799" s="4"/>
      <c r="X799" s="4"/>
      <c r="Y799" s="4"/>
    </row>
    <row r="800">
      <c r="A800" s="16" t="s">
        <v>4858</v>
      </c>
      <c r="B800" s="16">
        <v>1043915.0</v>
      </c>
      <c r="C800" s="8" t="s">
        <v>20</v>
      </c>
      <c r="D800" s="8" t="s">
        <v>4859</v>
      </c>
      <c r="E800" s="16" t="s">
        <v>4860</v>
      </c>
      <c r="F800" s="16">
        <v>1043915.0</v>
      </c>
      <c r="G800" s="4"/>
      <c r="H800" s="16">
        <v>1043915.0</v>
      </c>
      <c r="I800" s="16" t="s">
        <v>4861</v>
      </c>
      <c r="J800" s="16" t="s">
        <v>4862</v>
      </c>
      <c r="K800" s="16" t="s">
        <v>4863</v>
      </c>
      <c r="L800" s="16" t="s">
        <v>4864</v>
      </c>
      <c r="M800" s="16">
        <v>1997.0</v>
      </c>
      <c r="N800" s="18">
        <v>35710.0</v>
      </c>
      <c r="O800" s="18">
        <v>35710.0</v>
      </c>
      <c r="P800" s="16">
        <v>7372.0</v>
      </c>
      <c r="Q800" s="16">
        <v>7372.0</v>
      </c>
      <c r="R800" s="16">
        <v>14.5</v>
      </c>
      <c r="S800" s="4"/>
      <c r="T800" s="4"/>
      <c r="U800" s="4"/>
      <c r="V800" s="4"/>
      <c r="W800" s="4"/>
      <c r="X800" s="4"/>
      <c r="Y800" s="4"/>
    </row>
    <row r="801">
      <c r="A801" s="16" t="s">
        <v>4865</v>
      </c>
      <c r="B801" s="16">
        <v>1086195.0</v>
      </c>
      <c r="C801" s="8" t="s">
        <v>762</v>
      </c>
      <c r="D801" s="8" t="s">
        <v>4866</v>
      </c>
      <c r="E801" s="16" t="s">
        <v>4867</v>
      </c>
      <c r="F801" s="16">
        <v>1086195.0</v>
      </c>
      <c r="G801" s="4"/>
      <c r="H801" s="16">
        <v>1086195.0</v>
      </c>
      <c r="I801" s="16" t="s">
        <v>4868</v>
      </c>
      <c r="J801" s="16" t="s">
        <v>4869</v>
      </c>
      <c r="K801" s="16" t="s">
        <v>4869</v>
      </c>
      <c r="L801" s="16" t="s">
        <v>4869</v>
      </c>
      <c r="M801" s="16">
        <v>1999.0</v>
      </c>
      <c r="N801" s="18">
        <v>36362.0</v>
      </c>
      <c r="O801" s="18">
        <v>36362.0</v>
      </c>
      <c r="P801" s="16">
        <v>7372.0</v>
      </c>
      <c r="Q801" s="16">
        <v>7372.0</v>
      </c>
      <c r="R801" s="16">
        <v>12.0</v>
      </c>
      <c r="S801" s="4"/>
      <c r="T801" s="4"/>
      <c r="U801" s="4"/>
      <c r="V801" s="4"/>
      <c r="W801" s="4"/>
      <c r="X801" s="4"/>
      <c r="Y801" s="4"/>
    </row>
    <row r="802">
      <c r="A802" s="16" t="s">
        <v>4870</v>
      </c>
      <c r="B802" s="16">
        <v>1557127.0</v>
      </c>
      <c r="C802" s="8" t="s">
        <v>762</v>
      </c>
      <c r="D802" s="8" t="s">
        <v>4871</v>
      </c>
      <c r="E802" s="16" t="s">
        <v>4872</v>
      </c>
      <c r="F802" s="16">
        <v>1557127.0</v>
      </c>
      <c r="G802" s="4"/>
      <c r="H802" s="16">
        <v>1557127.0</v>
      </c>
      <c r="I802" s="16" t="s">
        <v>4873</v>
      </c>
      <c r="J802" s="16" t="s">
        <v>4874</v>
      </c>
      <c r="K802" s="16" t="s">
        <v>4874</v>
      </c>
      <c r="L802" s="16" t="s">
        <v>4874</v>
      </c>
      <c r="M802" s="16">
        <v>2021.0</v>
      </c>
      <c r="N802" s="18">
        <v>44517.0</v>
      </c>
      <c r="O802" s="18">
        <v>44517.0</v>
      </c>
      <c r="P802" s="16">
        <v>7372.0</v>
      </c>
      <c r="Q802" s="16">
        <v>7370.0</v>
      </c>
      <c r="R802" s="16">
        <v>14.0</v>
      </c>
      <c r="S802" s="4"/>
      <c r="T802" s="4"/>
      <c r="U802" s="4"/>
      <c r="V802" s="4"/>
      <c r="W802" s="4"/>
      <c r="X802" s="4"/>
      <c r="Y802" s="4"/>
    </row>
    <row r="803">
      <c r="A803" s="10" t="s">
        <v>4875</v>
      </c>
      <c r="B803" s="11">
        <v>1115055.0</v>
      </c>
      <c r="C803" s="8" t="s">
        <v>762</v>
      </c>
      <c r="D803" s="9" t="s">
        <v>4876</v>
      </c>
      <c r="E803" s="10" t="s">
        <v>4877</v>
      </c>
      <c r="F803" s="11">
        <v>1115055.0</v>
      </c>
      <c r="G803" s="11">
        <v>1115055.0</v>
      </c>
      <c r="H803" s="10" t="s">
        <v>4878</v>
      </c>
      <c r="I803" s="10" t="s">
        <v>4879</v>
      </c>
      <c r="J803" s="10" t="s">
        <v>4880</v>
      </c>
      <c r="K803" s="10" t="s">
        <v>4880</v>
      </c>
      <c r="L803" s="10" t="s">
        <v>4880</v>
      </c>
      <c r="M803" s="11">
        <v>2000.0</v>
      </c>
      <c r="N803" s="10"/>
      <c r="O803" s="10"/>
      <c r="P803" s="11">
        <v>6021.0</v>
      </c>
      <c r="Q803" s="11">
        <v>6020.0</v>
      </c>
      <c r="R803" s="11">
        <v>10.0</v>
      </c>
      <c r="S803" s="10"/>
      <c r="T803" s="10"/>
      <c r="U803" s="10"/>
      <c r="V803" s="10"/>
      <c r="W803" s="10"/>
      <c r="X803" s="10"/>
      <c r="Y803" s="10"/>
    </row>
    <row r="804">
      <c r="A804" s="10" t="s">
        <v>4881</v>
      </c>
      <c r="B804" s="11">
        <v>1060311.0</v>
      </c>
      <c r="C804" s="10" t="s">
        <v>20</v>
      </c>
      <c r="D804" s="9" t="s">
        <v>4882</v>
      </c>
      <c r="E804" s="10" t="s">
        <v>4883</v>
      </c>
      <c r="F804" s="11">
        <v>1060311.0</v>
      </c>
      <c r="G804" s="10"/>
      <c r="H804" s="10" t="s">
        <v>4884</v>
      </c>
      <c r="I804" s="10" t="s">
        <v>4885</v>
      </c>
      <c r="J804" s="10" t="s">
        <v>4886</v>
      </c>
      <c r="K804" s="10" t="s">
        <v>4886</v>
      </c>
      <c r="L804" s="10" t="s">
        <v>4886</v>
      </c>
      <c r="M804" s="11">
        <v>1999.0</v>
      </c>
      <c r="N804" s="10" t="s">
        <v>4887</v>
      </c>
      <c r="O804" s="10" t="s">
        <v>4887</v>
      </c>
      <c r="P804" s="11">
        <v>7372.0</v>
      </c>
      <c r="Q804" s="11">
        <v>7372.0</v>
      </c>
      <c r="R804" s="11">
        <v>9.0</v>
      </c>
      <c r="S804" s="10"/>
      <c r="T804" s="10"/>
      <c r="U804" s="10"/>
      <c r="V804" s="10"/>
      <c r="W804" s="10"/>
      <c r="X804" s="10"/>
      <c r="Y804" s="10"/>
    </row>
    <row r="805">
      <c r="A805" s="10" t="s">
        <v>4888</v>
      </c>
      <c r="B805" s="11">
        <v>1405419.0</v>
      </c>
      <c r="C805" s="10" t="s">
        <v>20</v>
      </c>
      <c r="D805" s="9" t="s">
        <v>4889</v>
      </c>
      <c r="E805" s="10" t="s">
        <v>4890</v>
      </c>
      <c r="F805" s="11">
        <v>1405419.0</v>
      </c>
      <c r="G805" s="10"/>
      <c r="H805" s="10" t="s">
        <v>4891</v>
      </c>
      <c r="I805" s="10" t="s">
        <v>4892</v>
      </c>
      <c r="J805" s="10" t="s">
        <v>4893</v>
      </c>
      <c r="K805" s="10" t="s">
        <v>4894</v>
      </c>
      <c r="L805" s="10" t="s">
        <v>4893</v>
      </c>
      <c r="M805" s="11">
        <v>2007.0</v>
      </c>
      <c r="N805" s="10" t="s">
        <v>4895</v>
      </c>
      <c r="O805" s="10" t="s">
        <v>4895</v>
      </c>
      <c r="P805" s="11">
        <v>6799.0</v>
      </c>
      <c r="Q805" s="11">
        <v>4512.0</v>
      </c>
      <c r="R805" s="11">
        <v>8.0</v>
      </c>
      <c r="S805" s="10"/>
      <c r="T805" s="10"/>
      <c r="U805" s="10"/>
      <c r="V805" s="10"/>
      <c r="W805" s="10"/>
      <c r="X805" s="10"/>
      <c r="Y805" s="10"/>
    </row>
    <row r="806">
      <c r="A806" s="10" t="s">
        <v>4896</v>
      </c>
      <c r="B806" s="11">
        <v>941685.0</v>
      </c>
      <c r="C806" s="10" t="s">
        <v>20</v>
      </c>
      <c r="D806" s="9" t="s">
        <v>4897</v>
      </c>
      <c r="E806" s="10" t="s">
        <v>4898</v>
      </c>
      <c r="F806" s="11">
        <v>941685.0</v>
      </c>
      <c r="G806" s="10"/>
      <c r="H806" s="10" t="s">
        <v>4899</v>
      </c>
      <c r="I806" s="10" t="s">
        <v>4900</v>
      </c>
      <c r="J806" s="10" t="s">
        <v>4901</v>
      </c>
      <c r="K806" s="10" t="s">
        <v>4902</v>
      </c>
      <c r="L806" s="10" t="s">
        <v>4901</v>
      </c>
      <c r="M806" s="11">
        <v>2000.0</v>
      </c>
      <c r="N806" s="10"/>
      <c r="O806" s="10"/>
      <c r="P806" s="11">
        <v>7372.0</v>
      </c>
      <c r="Q806" s="11">
        <v>7373.0</v>
      </c>
      <c r="R806" s="11">
        <v>8.0</v>
      </c>
      <c r="S806" s="10"/>
      <c r="T806" s="10"/>
      <c r="U806" s="10"/>
      <c r="V806" s="10"/>
      <c r="W806" s="10"/>
      <c r="X806" s="10"/>
      <c r="Y806" s="10"/>
    </row>
    <row r="807">
      <c r="A807" s="10" t="s">
        <v>4903</v>
      </c>
      <c r="B807" s="11">
        <v>799729.0</v>
      </c>
      <c r="C807" s="10" t="s">
        <v>20</v>
      </c>
      <c r="D807" s="9" t="s">
        <v>4904</v>
      </c>
      <c r="E807" s="10" t="s">
        <v>4905</v>
      </c>
      <c r="F807" s="11">
        <v>799729.0</v>
      </c>
      <c r="G807" s="10"/>
      <c r="H807" s="10" t="s">
        <v>4906</v>
      </c>
      <c r="I807" s="10" t="s">
        <v>4907</v>
      </c>
      <c r="J807" s="10" t="s">
        <v>4908</v>
      </c>
      <c r="K807" s="10" t="s">
        <v>4908</v>
      </c>
      <c r="L807" s="10" t="s">
        <v>4908</v>
      </c>
      <c r="M807" s="11">
        <v>1995.0</v>
      </c>
      <c r="N807" s="10" t="s">
        <v>4909</v>
      </c>
      <c r="O807" s="10" t="s">
        <v>4909</v>
      </c>
      <c r="P807" s="11">
        <v>8731.0</v>
      </c>
      <c r="Q807" s="11">
        <v>8731.0</v>
      </c>
      <c r="R807" s="11">
        <v>15.0</v>
      </c>
      <c r="S807" s="10"/>
      <c r="T807" s="10"/>
      <c r="U807" s="10"/>
      <c r="V807" s="10"/>
      <c r="W807" s="10"/>
      <c r="X807" s="10"/>
      <c r="Y807" s="10"/>
    </row>
    <row r="808">
      <c r="A808" s="10" t="s">
        <v>4910</v>
      </c>
      <c r="B808" s="11">
        <v>1514416.0</v>
      </c>
      <c r="C808" s="10" t="s">
        <v>20</v>
      </c>
      <c r="D808" s="9" t="s">
        <v>4911</v>
      </c>
      <c r="E808" s="10" t="s">
        <v>4912</v>
      </c>
      <c r="F808" s="11">
        <v>1514416.0</v>
      </c>
      <c r="G808" s="11">
        <v>1514416.0</v>
      </c>
      <c r="H808" s="10" t="s">
        <v>4913</v>
      </c>
      <c r="I808" s="10" t="s">
        <v>4914</v>
      </c>
      <c r="J808" s="10" t="s">
        <v>4915</v>
      </c>
      <c r="K808" s="10" t="s">
        <v>4915</v>
      </c>
      <c r="L808" s="10" t="s">
        <v>4915</v>
      </c>
      <c r="M808" s="11">
        <v>2017.0</v>
      </c>
      <c r="N808" s="10" t="s">
        <v>4916</v>
      </c>
      <c r="O808" s="10" t="s">
        <v>4916</v>
      </c>
      <c r="P808" s="11">
        <v>7375.0</v>
      </c>
      <c r="Q808" s="11">
        <v>7370.0</v>
      </c>
      <c r="R808" s="11">
        <v>20.0</v>
      </c>
      <c r="S808" s="10"/>
      <c r="T808" s="10"/>
      <c r="U808" s="10"/>
      <c r="V808" s="10"/>
      <c r="W808" s="10"/>
      <c r="X808" s="10"/>
      <c r="Y808" s="10"/>
    </row>
    <row r="809">
      <c r="A809" s="10" t="s">
        <v>4917</v>
      </c>
      <c r="B809" s="11">
        <v>1325177.0</v>
      </c>
      <c r="C809" s="10" t="s">
        <v>20</v>
      </c>
      <c r="D809" s="9" t="s">
        <v>4918</v>
      </c>
      <c r="E809" s="10"/>
      <c r="F809" s="10"/>
      <c r="G809" s="11">
        <v>1620459.0</v>
      </c>
      <c r="H809" s="10" t="s">
        <v>4919</v>
      </c>
      <c r="I809" s="10" t="s">
        <v>4920</v>
      </c>
      <c r="J809" s="10" t="s">
        <v>4921</v>
      </c>
      <c r="K809" s="10"/>
      <c r="L809" s="10" t="s">
        <v>4921</v>
      </c>
      <c r="M809" s="11">
        <v>2005.0</v>
      </c>
      <c r="N809" s="10"/>
      <c r="O809" s="10"/>
      <c r="P809" s="11">
        <v>6331.0</v>
      </c>
      <c r="Q809" s="10"/>
      <c r="R809" s="11">
        <v>18.0</v>
      </c>
      <c r="S809" s="10"/>
      <c r="T809" s="10"/>
      <c r="U809" s="10"/>
      <c r="V809" s="10"/>
      <c r="W809" s="10"/>
      <c r="X809" s="10"/>
      <c r="Y809" s="10"/>
    </row>
    <row r="810">
      <c r="A810" s="10" t="s">
        <v>4922</v>
      </c>
      <c r="B810" s="11">
        <v>1815974.0</v>
      </c>
      <c r="C810" s="10" t="s">
        <v>20</v>
      </c>
      <c r="D810" s="9" t="s">
        <v>4923</v>
      </c>
      <c r="E810" s="10"/>
      <c r="F810" s="10"/>
      <c r="G810" s="11">
        <v>1815974.0</v>
      </c>
      <c r="H810" s="10" t="s">
        <v>4924</v>
      </c>
      <c r="I810" s="10" t="s">
        <v>4925</v>
      </c>
      <c r="J810" s="10" t="s">
        <v>4926</v>
      </c>
      <c r="K810" s="10"/>
      <c r="L810" s="10" t="s">
        <v>4926</v>
      </c>
      <c r="M810" s="11">
        <v>2021.0</v>
      </c>
      <c r="N810" s="10"/>
      <c r="O810" s="10"/>
      <c r="P810" s="11">
        <v>8731.0</v>
      </c>
      <c r="Q810" s="10"/>
      <c r="R810" s="11">
        <v>7.0</v>
      </c>
      <c r="S810" s="10"/>
      <c r="T810" s="10"/>
      <c r="U810" s="10"/>
      <c r="V810" s="10"/>
      <c r="W810" s="10"/>
      <c r="X810" s="10"/>
      <c r="Y810" s="10"/>
    </row>
    <row r="811">
      <c r="A811" s="10" t="s">
        <v>4927</v>
      </c>
      <c r="B811" s="11">
        <v>1447669.0</v>
      </c>
      <c r="C811" s="10" t="s">
        <v>20</v>
      </c>
      <c r="D811" s="9" t="s">
        <v>4928</v>
      </c>
      <c r="E811" s="10" t="s">
        <v>4929</v>
      </c>
      <c r="F811" s="11">
        <v>1447669.0</v>
      </c>
      <c r="G811" s="10"/>
      <c r="H811" s="10" t="s">
        <v>4930</v>
      </c>
      <c r="I811" s="10" t="s">
        <v>4931</v>
      </c>
      <c r="J811" s="10"/>
      <c r="K811" s="10" t="s">
        <v>4932</v>
      </c>
      <c r="L811" s="10"/>
      <c r="M811" s="11">
        <v>2016.0</v>
      </c>
      <c r="N811" s="10" t="s">
        <v>4933</v>
      </c>
      <c r="O811" s="10" t="s">
        <v>4933</v>
      </c>
      <c r="P811" s="11">
        <v>7372.0</v>
      </c>
      <c r="Q811" s="11">
        <v>7370.0</v>
      </c>
      <c r="R811" s="11">
        <v>15.0</v>
      </c>
      <c r="S811" s="10"/>
      <c r="T811" s="10"/>
      <c r="U811" s="10"/>
      <c r="V811" s="10"/>
      <c r="W811" s="10"/>
      <c r="X811" s="10"/>
      <c r="Y811" s="10"/>
    </row>
    <row r="812">
      <c r="A812" s="10" t="s">
        <v>4934</v>
      </c>
      <c r="B812" s="11">
        <v>1303652.0</v>
      </c>
      <c r="C812" s="10" t="s">
        <v>20</v>
      </c>
      <c r="D812" s="9" t="s">
        <v>4935</v>
      </c>
      <c r="E812" s="10" t="s">
        <v>4936</v>
      </c>
      <c r="F812" s="11">
        <v>1303652.0</v>
      </c>
      <c r="G812" s="10"/>
      <c r="H812" s="10" t="s">
        <v>4937</v>
      </c>
      <c r="I812" s="10" t="s">
        <v>4938</v>
      </c>
      <c r="J812" s="10" t="s">
        <v>4939</v>
      </c>
      <c r="K812" s="10" t="s">
        <v>4939</v>
      </c>
      <c r="L812" s="10" t="s">
        <v>4939</v>
      </c>
      <c r="M812" s="11">
        <v>2013.0</v>
      </c>
      <c r="N812" s="10" t="s">
        <v>4940</v>
      </c>
      <c r="O812" s="10" t="s">
        <v>4940</v>
      </c>
      <c r="P812" s="11">
        <v>7372.0</v>
      </c>
      <c r="Q812" s="11">
        <v>7372.0</v>
      </c>
      <c r="R812" s="11">
        <v>31.0</v>
      </c>
      <c r="S812" s="10"/>
      <c r="T812" s="10"/>
      <c r="U812" s="10"/>
      <c r="V812" s="10"/>
      <c r="W812" s="10"/>
      <c r="X812" s="10"/>
      <c r="Y812" s="10"/>
    </row>
    <row r="813">
      <c r="A813" s="10" t="s">
        <v>4941</v>
      </c>
      <c r="B813" s="11">
        <v>897893.0</v>
      </c>
      <c r="C813" s="10" t="s">
        <v>20</v>
      </c>
      <c r="D813" s="9" t="s">
        <v>4942</v>
      </c>
      <c r="E813" s="10" t="s">
        <v>4943</v>
      </c>
      <c r="F813" s="11">
        <v>897893.0</v>
      </c>
      <c r="G813" s="10"/>
      <c r="H813" s="10" t="s">
        <v>4944</v>
      </c>
      <c r="I813" s="10" t="s">
        <v>4945</v>
      </c>
      <c r="J813" s="10" t="s">
        <v>4946</v>
      </c>
      <c r="K813" s="10" t="s">
        <v>4946</v>
      </c>
      <c r="L813" s="10" t="s">
        <v>4946</v>
      </c>
      <c r="M813" s="11">
        <v>1996.0</v>
      </c>
      <c r="N813" s="10" t="s">
        <v>678</v>
      </c>
      <c r="O813" s="10" t="s">
        <v>678</v>
      </c>
      <c r="P813" s="11">
        <v>7372.0</v>
      </c>
      <c r="Q813" s="11">
        <v>7372.0</v>
      </c>
      <c r="R813" s="11">
        <v>11.0</v>
      </c>
      <c r="S813" s="10"/>
      <c r="T813" s="10"/>
      <c r="U813" s="10"/>
      <c r="V813" s="10"/>
      <c r="W813" s="10"/>
      <c r="X813" s="10"/>
      <c r="Y813" s="10"/>
    </row>
    <row r="814">
      <c r="A814" s="10" t="s">
        <v>4947</v>
      </c>
      <c r="B814" s="11">
        <v>1539894.0</v>
      </c>
      <c r="C814" s="10" t="s">
        <v>20</v>
      </c>
      <c r="D814" s="9" t="s">
        <v>4948</v>
      </c>
      <c r="E814" s="10" t="s">
        <v>4949</v>
      </c>
      <c r="F814" s="11">
        <v>1539894.0</v>
      </c>
      <c r="G814" s="10"/>
      <c r="H814" s="10" t="s">
        <v>4950</v>
      </c>
      <c r="I814" s="10" t="s">
        <v>4951</v>
      </c>
      <c r="J814" s="10" t="s">
        <v>4952</v>
      </c>
      <c r="K814" s="10" t="s">
        <v>4953</v>
      </c>
      <c r="L814" s="10" t="s">
        <v>4952</v>
      </c>
      <c r="M814" s="11">
        <v>2013.0</v>
      </c>
      <c r="N814" s="10"/>
      <c r="O814" s="10"/>
      <c r="P814" s="11">
        <v>6331.0</v>
      </c>
      <c r="Q814" s="11">
        <v>6331.0</v>
      </c>
      <c r="R814" s="11">
        <v>5.85</v>
      </c>
      <c r="S814" s="10"/>
      <c r="T814" s="10"/>
      <c r="U814" s="10"/>
      <c r="V814" s="10"/>
      <c r="W814" s="10"/>
      <c r="X814" s="10"/>
      <c r="Y814" s="10"/>
    </row>
    <row r="815">
      <c r="A815" s="10" t="s">
        <v>4954</v>
      </c>
      <c r="B815" s="11">
        <v>1022147.0</v>
      </c>
      <c r="C815" s="10" t="s">
        <v>20</v>
      </c>
      <c r="D815" s="9" t="s">
        <v>4955</v>
      </c>
      <c r="E815" s="10" t="s">
        <v>4956</v>
      </c>
      <c r="F815" s="11">
        <v>1022147.0</v>
      </c>
      <c r="G815" s="10"/>
      <c r="H815" s="10" t="s">
        <v>4957</v>
      </c>
      <c r="I815" s="10" t="s">
        <v>4958</v>
      </c>
      <c r="J815" s="10" t="s">
        <v>4959</v>
      </c>
      <c r="K815" s="10" t="s">
        <v>4960</v>
      </c>
      <c r="L815" s="10" t="s">
        <v>4959</v>
      </c>
      <c r="M815" s="11">
        <v>1997.0</v>
      </c>
      <c r="N815" s="10" t="s">
        <v>4961</v>
      </c>
      <c r="O815" s="10" t="s">
        <v>4961</v>
      </c>
      <c r="P815" s="11">
        <v>7373.0</v>
      </c>
      <c r="Q815" s="11">
        <v>7373.0</v>
      </c>
      <c r="R815" s="11">
        <v>11.0</v>
      </c>
      <c r="S815" s="10"/>
      <c r="T815" s="10"/>
      <c r="U815" s="10"/>
      <c r="V815" s="10"/>
      <c r="W815" s="10"/>
      <c r="X815" s="10"/>
      <c r="Y815" s="10"/>
    </row>
    <row r="816">
      <c r="A816" s="10" t="s">
        <v>4962</v>
      </c>
      <c r="B816" s="11">
        <v>1485964.0</v>
      </c>
      <c r="C816" s="8" t="s">
        <v>762</v>
      </c>
      <c r="D816" s="9" t="s">
        <v>4963</v>
      </c>
      <c r="E816" s="10" t="s">
        <v>4964</v>
      </c>
      <c r="F816" s="11">
        <v>1485964.0</v>
      </c>
      <c r="G816" s="10"/>
      <c r="H816" s="10" t="s">
        <v>4965</v>
      </c>
      <c r="I816" s="10" t="s">
        <v>4966</v>
      </c>
      <c r="J816" s="10" t="s">
        <v>4967</v>
      </c>
      <c r="K816" s="10" t="s">
        <v>4967</v>
      </c>
      <c r="L816" s="10" t="s">
        <v>4967</v>
      </c>
      <c r="M816" s="11">
        <v>2010.0</v>
      </c>
      <c r="N816" s="10" t="s">
        <v>4968</v>
      </c>
      <c r="O816" s="10" t="s">
        <v>4968</v>
      </c>
      <c r="P816" s="11">
        <v>6712.0</v>
      </c>
      <c r="Q816" s="11">
        <v>6035.0</v>
      </c>
      <c r="R816" s="11">
        <v>10.0</v>
      </c>
      <c r="S816" s="10"/>
      <c r="T816" s="10"/>
      <c r="U816" s="10"/>
      <c r="V816" s="10"/>
      <c r="W816" s="10"/>
      <c r="X816" s="10"/>
      <c r="Y816" s="10"/>
    </row>
    <row r="817">
      <c r="A817" s="10" t="s">
        <v>4969</v>
      </c>
      <c r="B817" s="11">
        <v>1613859.0</v>
      </c>
      <c r="C817" s="10" t="s">
        <v>20</v>
      </c>
      <c r="D817" s="9" t="s">
        <v>4970</v>
      </c>
      <c r="E817" s="10" t="s">
        <v>4971</v>
      </c>
      <c r="F817" s="11">
        <v>1613859.0</v>
      </c>
      <c r="G817" s="10"/>
      <c r="H817" s="10" t="s">
        <v>4972</v>
      </c>
      <c r="I817" s="10" t="s">
        <v>4973</v>
      </c>
      <c r="J817" s="10" t="s">
        <v>4974</v>
      </c>
      <c r="K817" s="10" t="s">
        <v>4974</v>
      </c>
      <c r="L817" s="10" t="s">
        <v>4975</v>
      </c>
      <c r="M817" s="11">
        <v>2014.0</v>
      </c>
      <c r="N817" s="10" t="s">
        <v>4976</v>
      </c>
      <c r="O817" s="10" t="s">
        <v>4976</v>
      </c>
      <c r="P817" s="11">
        <v>8731.0</v>
      </c>
      <c r="Q817" s="11">
        <v>8731.0</v>
      </c>
      <c r="R817" s="11">
        <v>18.0</v>
      </c>
      <c r="S817" s="10"/>
      <c r="T817" s="10"/>
      <c r="U817" s="10"/>
      <c r="V817" s="10"/>
      <c r="W817" s="10"/>
      <c r="X817" s="10"/>
      <c r="Y817" s="10"/>
    </row>
    <row r="818">
      <c r="A818" s="10" t="s">
        <v>4977</v>
      </c>
      <c r="B818" s="11">
        <v>862928.0</v>
      </c>
      <c r="C818" s="10" t="s">
        <v>20</v>
      </c>
      <c r="D818" s="9" t="s">
        <v>4978</v>
      </c>
      <c r="E818" s="10" t="s">
        <v>4979</v>
      </c>
      <c r="F818" s="11">
        <v>862928.0</v>
      </c>
      <c r="G818" s="10"/>
      <c r="H818" s="10" t="s">
        <v>4980</v>
      </c>
      <c r="I818" s="10" t="s">
        <v>4981</v>
      </c>
      <c r="J818" s="10" t="s">
        <v>4982</v>
      </c>
      <c r="K818" s="10" t="s">
        <v>4982</v>
      </c>
      <c r="L818" s="10" t="s">
        <v>4982</v>
      </c>
      <c r="M818" s="11">
        <v>1995.0</v>
      </c>
      <c r="N818" s="10" t="s">
        <v>4983</v>
      </c>
      <c r="O818" s="10" t="s">
        <v>4983</v>
      </c>
      <c r="P818" s="11">
        <v>7372.0</v>
      </c>
      <c r="Q818" s="11">
        <v>7372.0</v>
      </c>
      <c r="R818" s="11">
        <v>14.0</v>
      </c>
      <c r="S818" s="10"/>
      <c r="T818" s="10"/>
      <c r="U818" s="10"/>
      <c r="V818" s="10"/>
      <c r="W818" s="10"/>
      <c r="X818" s="10"/>
      <c r="Y818" s="10"/>
    </row>
    <row r="819">
      <c r="A819" s="10" t="s">
        <v>4984</v>
      </c>
      <c r="B819" s="11">
        <v>1113529.0</v>
      </c>
      <c r="C819" s="10" t="s">
        <v>20</v>
      </c>
      <c r="D819" s="9" t="s">
        <v>4985</v>
      </c>
      <c r="E819" s="10" t="s">
        <v>4986</v>
      </c>
      <c r="F819" s="11">
        <v>1113529.0</v>
      </c>
      <c r="G819" s="10"/>
      <c r="H819" s="10" t="s">
        <v>4987</v>
      </c>
      <c r="I819" s="10" t="s">
        <v>4988</v>
      </c>
      <c r="J819" s="10"/>
      <c r="K819" s="10" t="s">
        <v>4989</v>
      </c>
      <c r="L819" s="10"/>
      <c r="M819" s="11">
        <v>2000.0</v>
      </c>
      <c r="N819" s="10" t="s">
        <v>4990</v>
      </c>
      <c r="O819" s="10" t="s">
        <v>4990</v>
      </c>
      <c r="P819" s="11">
        <v>7389.0</v>
      </c>
      <c r="Q819" s="11">
        <v>7373.0</v>
      </c>
      <c r="R819" s="11">
        <v>12.0</v>
      </c>
      <c r="S819" s="10"/>
      <c r="T819" s="10"/>
      <c r="U819" s="10"/>
      <c r="V819" s="10"/>
      <c r="W819" s="10"/>
      <c r="X819" s="10"/>
      <c r="Y819" s="10"/>
    </row>
    <row r="820">
      <c r="A820" s="10" t="s">
        <v>4991</v>
      </c>
      <c r="B820" s="11">
        <v>1422930.0</v>
      </c>
      <c r="C820" s="10" t="s">
        <v>20</v>
      </c>
      <c r="D820" s="9" t="s">
        <v>4992</v>
      </c>
      <c r="E820" s="10" t="s">
        <v>4993</v>
      </c>
      <c r="F820" s="11">
        <v>1422930.0</v>
      </c>
      <c r="G820" s="11">
        <v>1422930.0</v>
      </c>
      <c r="H820" s="10" t="s">
        <v>4994</v>
      </c>
      <c r="I820" s="10" t="s">
        <v>4995</v>
      </c>
      <c r="J820" s="10" t="s">
        <v>4996</v>
      </c>
      <c r="K820" s="10" t="s">
        <v>4996</v>
      </c>
      <c r="L820" s="10" t="s">
        <v>4996</v>
      </c>
      <c r="M820" s="11">
        <v>2020.0</v>
      </c>
      <c r="N820" s="10" t="s">
        <v>4997</v>
      </c>
      <c r="O820" s="10" t="s">
        <v>4997</v>
      </c>
      <c r="P820" s="11">
        <v>7372.0</v>
      </c>
      <c r="Q820" s="11">
        <v>7370.0</v>
      </c>
      <c r="R820" s="11">
        <v>20.0</v>
      </c>
      <c r="S820" s="10"/>
      <c r="T820" s="10"/>
      <c r="U820" s="10"/>
      <c r="V820" s="10"/>
      <c r="W820" s="10"/>
      <c r="X820" s="10"/>
      <c r="Y820" s="10"/>
    </row>
    <row r="821">
      <c r="A821" s="10" t="s">
        <v>4998</v>
      </c>
      <c r="B821" s="11">
        <v>1454938.0</v>
      </c>
      <c r="C821" s="10" t="s">
        <v>20</v>
      </c>
      <c r="D821" s="9" t="s">
        <v>4999</v>
      </c>
      <c r="E821" s="10" t="s">
        <v>5000</v>
      </c>
      <c r="F821" s="11">
        <v>1454938.0</v>
      </c>
      <c r="G821" s="11">
        <v>1454938.0</v>
      </c>
      <c r="H821" s="10" t="s">
        <v>5001</v>
      </c>
      <c r="I821" s="10" t="s">
        <v>5002</v>
      </c>
      <c r="J821" s="10" t="s">
        <v>5003</v>
      </c>
      <c r="K821" s="10" t="s">
        <v>5003</v>
      </c>
      <c r="L821" s="10" t="s">
        <v>5003</v>
      </c>
      <c r="M821" s="11">
        <v>2021.0</v>
      </c>
      <c r="N821" s="10" t="s">
        <v>3694</v>
      </c>
      <c r="O821" s="10" t="s">
        <v>3694</v>
      </c>
      <c r="P821" s="11">
        <v>7372.0</v>
      </c>
      <c r="Q821" s="11">
        <v>7370.0</v>
      </c>
      <c r="R821" s="11">
        <v>20.0</v>
      </c>
      <c r="S821" s="10"/>
      <c r="T821" s="10"/>
      <c r="U821" s="10"/>
      <c r="V821" s="10"/>
      <c r="W821" s="10"/>
      <c r="X821" s="10"/>
      <c r="Y821" s="10"/>
    </row>
    <row r="822">
      <c r="A822" s="10" t="s">
        <v>5004</v>
      </c>
      <c r="B822" s="11">
        <v>1063997.0</v>
      </c>
      <c r="C822" s="8" t="s">
        <v>762</v>
      </c>
      <c r="D822" s="9" t="s">
        <v>5005</v>
      </c>
      <c r="E822" s="10" t="s">
        <v>5006</v>
      </c>
      <c r="F822" s="11">
        <v>1063997.0</v>
      </c>
      <c r="G822" s="10"/>
      <c r="H822" s="10"/>
      <c r="I822" s="10" t="s">
        <v>5007</v>
      </c>
      <c r="J822" s="10" t="s">
        <v>5008</v>
      </c>
      <c r="K822" s="10" t="s">
        <v>5009</v>
      </c>
      <c r="L822" s="10" t="s">
        <v>5008</v>
      </c>
      <c r="M822" s="11">
        <v>2002.0</v>
      </c>
      <c r="N822" s="10"/>
      <c r="O822" s="10"/>
      <c r="P822" s="11">
        <v>6289.0</v>
      </c>
      <c r="Q822" s="11">
        <v>6035.0</v>
      </c>
      <c r="R822" s="11">
        <v>12.0</v>
      </c>
      <c r="S822" s="10"/>
      <c r="T822" s="10"/>
      <c r="U822" s="10"/>
      <c r="V822" s="10"/>
      <c r="W822" s="10"/>
      <c r="X822" s="10"/>
      <c r="Y822" s="10"/>
    </row>
    <row r="823">
      <c r="A823" s="10" t="s">
        <v>5010</v>
      </c>
      <c r="B823" s="11">
        <v>1781755.0</v>
      </c>
      <c r="C823" s="8" t="s">
        <v>762</v>
      </c>
      <c r="D823" s="9" t="s">
        <v>5011</v>
      </c>
      <c r="E823" s="10" t="s">
        <v>5012</v>
      </c>
      <c r="F823" s="11">
        <v>1781755.0</v>
      </c>
      <c r="G823" s="10"/>
      <c r="H823" s="10" t="s">
        <v>5013</v>
      </c>
      <c r="I823" s="10" t="s">
        <v>5014</v>
      </c>
      <c r="J823" s="10" t="s">
        <v>5015</v>
      </c>
      <c r="K823" s="10" t="s">
        <v>5016</v>
      </c>
      <c r="L823" s="10" t="s">
        <v>5015</v>
      </c>
      <c r="M823" s="11">
        <v>2019.0</v>
      </c>
      <c r="N823" s="10" t="s">
        <v>5017</v>
      </c>
      <c r="O823" s="10" t="s">
        <v>5017</v>
      </c>
      <c r="P823" s="11">
        <v>6411.0</v>
      </c>
      <c r="Q823" s="11">
        <v>6411.0</v>
      </c>
      <c r="R823" s="11">
        <v>14.0</v>
      </c>
      <c r="S823" s="10"/>
      <c r="T823" s="10"/>
      <c r="U823" s="10"/>
      <c r="V823" s="10"/>
      <c r="W823" s="10"/>
      <c r="X823" s="10"/>
      <c r="Y823" s="10"/>
    </row>
    <row r="824">
      <c r="A824" s="10" t="s">
        <v>5018</v>
      </c>
      <c r="B824" s="11">
        <v>1095825.0</v>
      </c>
      <c r="C824" s="10" t="s">
        <v>20</v>
      </c>
      <c r="D824" s="9" t="s">
        <v>5019</v>
      </c>
      <c r="E824" s="10" t="s">
        <v>5020</v>
      </c>
      <c r="F824" s="11">
        <v>1095825.0</v>
      </c>
      <c r="G824" s="10"/>
      <c r="H824" s="10" t="s">
        <v>5021</v>
      </c>
      <c r="I824" s="10" t="s">
        <v>5022</v>
      </c>
      <c r="J824" s="10" t="s">
        <v>5023</v>
      </c>
      <c r="K824" s="10" t="s">
        <v>5023</v>
      </c>
      <c r="L824" s="10" t="s">
        <v>5023</v>
      </c>
      <c r="M824" s="11">
        <v>1999.0</v>
      </c>
      <c r="N824" s="10" t="s">
        <v>3785</v>
      </c>
      <c r="O824" s="10" t="s">
        <v>3785</v>
      </c>
      <c r="P824" s="11">
        <v>7375.0</v>
      </c>
      <c r="Q824" s="11">
        <v>7370.0</v>
      </c>
      <c r="R824" s="11">
        <v>20.0</v>
      </c>
      <c r="S824" s="10"/>
      <c r="T824" s="10"/>
      <c r="U824" s="10"/>
      <c r="V824" s="10"/>
      <c r="W824" s="10"/>
      <c r="X824" s="10"/>
      <c r="Y824" s="10"/>
    </row>
    <row r="825">
      <c r="A825" s="10" t="s">
        <v>5024</v>
      </c>
      <c r="B825" s="11">
        <v>1085095.0</v>
      </c>
      <c r="C825" s="8" t="s">
        <v>762</v>
      </c>
      <c r="D825" s="9" t="s">
        <v>5025</v>
      </c>
      <c r="E825" s="10" t="s">
        <v>5026</v>
      </c>
      <c r="F825" s="11">
        <v>1085095.0</v>
      </c>
      <c r="G825" s="10"/>
      <c r="H825" s="10" t="s">
        <v>5027</v>
      </c>
      <c r="I825" s="10" t="s">
        <v>5028</v>
      </c>
      <c r="J825" s="10" t="s">
        <v>5029</v>
      </c>
      <c r="K825" s="10" t="s">
        <v>5029</v>
      </c>
      <c r="L825" s="10" t="s">
        <v>5030</v>
      </c>
      <c r="M825" s="11">
        <v>1999.0</v>
      </c>
      <c r="N825" s="10" t="s">
        <v>5031</v>
      </c>
      <c r="O825" s="10" t="s">
        <v>5031</v>
      </c>
      <c r="P825" s="11">
        <v>6211.0</v>
      </c>
      <c r="Q825" s="11">
        <v>6211.0</v>
      </c>
      <c r="R825" s="11">
        <v>24.0</v>
      </c>
      <c r="S825" s="10"/>
      <c r="T825" s="10"/>
      <c r="U825" s="10"/>
      <c r="V825" s="10"/>
      <c r="W825" s="10"/>
      <c r="X825" s="10"/>
      <c r="Y825" s="10"/>
    </row>
    <row r="826">
      <c r="A826" s="10" t="s">
        <v>5032</v>
      </c>
      <c r="B826" s="11">
        <v>1061236.0</v>
      </c>
      <c r="C826" s="10" t="s">
        <v>20</v>
      </c>
      <c r="D826" s="9" t="s">
        <v>5033</v>
      </c>
      <c r="E826" s="10" t="s">
        <v>5034</v>
      </c>
      <c r="F826" s="11">
        <v>1061236.0</v>
      </c>
      <c r="G826" s="10"/>
      <c r="H826" s="10" t="s">
        <v>5035</v>
      </c>
      <c r="I826" s="10" t="s">
        <v>5036</v>
      </c>
      <c r="J826" s="10" t="s">
        <v>5037</v>
      </c>
      <c r="K826" s="10" t="s">
        <v>5038</v>
      </c>
      <c r="L826" s="10" t="s">
        <v>5039</v>
      </c>
      <c r="M826" s="11">
        <v>1998.0</v>
      </c>
      <c r="N826" s="10" t="s">
        <v>3155</v>
      </c>
      <c r="O826" s="10" t="s">
        <v>3155</v>
      </c>
      <c r="P826" s="11">
        <v>7373.0</v>
      </c>
      <c r="Q826" s="11">
        <v>7370.0</v>
      </c>
      <c r="R826" s="11">
        <v>18.0</v>
      </c>
      <c r="S826" s="10"/>
      <c r="T826" s="10"/>
      <c r="U826" s="10"/>
      <c r="V826" s="10"/>
      <c r="W826" s="10"/>
      <c r="X826" s="10"/>
      <c r="Y826" s="10"/>
    </row>
    <row r="827">
      <c r="A827" s="10" t="s">
        <v>5040</v>
      </c>
      <c r="B827" s="11">
        <v>937266.0</v>
      </c>
      <c r="C827" s="10" t="s">
        <v>20</v>
      </c>
      <c r="D827" s="9" t="s">
        <v>5041</v>
      </c>
      <c r="E827" s="10" t="s">
        <v>5042</v>
      </c>
      <c r="F827" s="11">
        <v>937266.0</v>
      </c>
      <c r="G827" s="11">
        <v>728387.0</v>
      </c>
      <c r="H827" s="10" t="s">
        <v>5043</v>
      </c>
      <c r="I827" s="10" t="s">
        <v>5044</v>
      </c>
      <c r="J827" s="10" t="s">
        <v>5045</v>
      </c>
      <c r="K827" s="10" t="s">
        <v>5046</v>
      </c>
      <c r="L827" s="10" t="s">
        <v>5047</v>
      </c>
      <c r="M827" s="11">
        <v>1995.0</v>
      </c>
      <c r="N827" s="10" t="s">
        <v>5048</v>
      </c>
      <c r="O827" s="10" t="s">
        <v>5048</v>
      </c>
      <c r="P827" s="11">
        <v>7372.0</v>
      </c>
      <c r="Q827" s="11">
        <v>7372.0</v>
      </c>
      <c r="R827" s="11">
        <v>12.0</v>
      </c>
      <c r="S827" s="10"/>
      <c r="T827" s="10"/>
      <c r="U827" s="10"/>
      <c r="V827" s="10"/>
      <c r="W827" s="10"/>
      <c r="X827" s="10"/>
      <c r="Y827" s="10"/>
    </row>
    <row r="828">
      <c r="A828" s="10" t="s">
        <v>5049</v>
      </c>
      <c r="B828" s="11">
        <v>1139650.0</v>
      </c>
      <c r="C828" s="10" t="s">
        <v>20</v>
      </c>
      <c r="D828" s="9" t="s">
        <v>5050</v>
      </c>
      <c r="E828" s="10" t="s">
        <v>5051</v>
      </c>
      <c r="F828" s="11">
        <v>1139650.0</v>
      </c>
      <c r="G828" s="10"/>
      <c r="H828" s="10" t="s">
        <v>5052</v>
      </c>
      <c r="I828" s="10" t="s">
        <v>5053</v>
      </c>
      <c r="J828" s="10" t="s">
        <v>5054</v>
      </c>
      <c r="K828" s="10" t="s">
        <v>5055</v>
      </c>
      <c r="L828" s="10" t="s">
        <v>5054</v>
      </c>
      <c r="M828" s="11">
        <v>2002.0</v>
      </c>
      <c r="N828" s="10"/>
      <c r="O828" s="10"/>
      <c r="P828" s="11">
        <v>7372.0</v>
      </c>
      <c r="Q828" s="11">
        <v>7372.0</v>
      </c>
      <c r="R828" s="11">
        <v>10.0</v>
      </c>
      <c r="S828" s="10"/>
      <c r="T828" s="10"/>
      <c r="U828" s="10"/>
      <c r="V828" s="10"/>
      <c r="W828" s="10"/>
      <c r="X828" s="10"/>
      <c r="Y828" s="10"/>
    </row>
    <row r="829">
      <c r="A829" s="10" t="s">
        <v>5056</v>
      </c>
      <c r="B829" s="11">
        <v>1021848.0</v>
      </c>
      <c r="C829" s="10" t="s">
        <v>20</v>
      </c>
      <c r="D829" s="9" t="s">
        <v>5057</v>
      </c>
      <c r="E829" s="10" t="s">
        <v>5058</v>
      </c>
      <c r="F829" s="11">
        <v>1021848.0</v>
      </c>
      <c r="G829" s="10"/>
      <c r="H829" s="10" t="s">
        <v>5059</v>
      </c>
      <c r="I829" s="10" t="s">
        <v>5060</v>
      </c>
      <c r="J829" s="10" t="s">
        <v>5061</v>
      </c>
      <c r="K829" s="10" t="s">
        <v>5062</v>
      </c>
      <c r="L829" s="10" t="s">
        <v>5061</v>
      </c>
      <c r="M829" s="11">
        <v>1996.0</v>
      </c>
      <c r="N829" s="10" t="s">
        <v>5063</v>
      </c>
      <c r="O829" s="10" t="s">
        <v>5063</v>
      </c>
      <c r="P829" s="11">
        <v>6163.0</v>
      </c>
      <c r="Q829" s="11">
        <v>6162.0</v>
      </c>
      <c r="R829" s="11">
        <v>16.5</v>
      </c>
      <c r="S829" s="10"/>
      <c r="T829" s="10"/>
      <c r="U829" s="10"/>
      <c r="V829" s="10"/>
      <c r="W829" s="10"/>
      <c r="X829" s="10"/>
      <c r="Y829" s="10"/>
    </row>
    <row r="830">
      <c r="A830" s="10" t="s">
        <v>5064</v>
      </c>
      <c r="B830" s="11">
        <v>1047262.0</v>
      </c>
      <c r="C830" s="10" t="s">
        <v>20</v>
      </c>
      <c r="D830" s="9" t="s">
        <v>5065</v>
      </c>
      <c r="E830" s="10" t="s">
        <v>5066</v>
      </c>
      <c r="F830" s="11">
        <v>1047262.0</v>
      </c>
      <c r="G830" s="10"/>
      <c r="H830" s="10" t="s">
        <v>5067</v>
      </c>
      <c r="I830" s="10" t="s">
        <v>5068</v>
      </c>
      <c r="J830" s="10" t="s">
        <v>5069</v>
      </c>
      <c r="K830" s="10" t="s">
        <v>5069</v>
      </c>
      <c r="L830" s="10" t="s">
        <v>5069</v>
      </c>
      <c r="M830" s="11">
        <v>2000.0</v>
      </c>
      <c r="N830" s="10" t="s">
        <v>5070</v>
      </c>
      <c r="O830" s="10" t="s">
        <v>5070</v>
      </c>
      <c r="P830" s="11">
        <v>7371.0</v>
      </c>
      <c r="Q830" s="11">
        <v>7372.0</v>
      </c>
      <c r="R830" s="11">
        <v>8.0</v>
      </c>
      <c r="S830" s="10"/>
      <c r="T830" s="10"/>
      <c r="U830" s="10"/>
      <c r="V830" s="10"/>
      <c r="W830" s="10"/>
      <c r="X830" s="10"/>
      <c r="Y830" s="10"/>
    </row>
    <row r="831">
      <c r="A831" s="10" t="s">
        <v>5071</v>
      </c>
      <c r="B831" s="11">
        <v>1062530.0</v>
      </c>
      <c r="C831" s="10" t="s">
        <v>20</v>
      </c>
      <c r="D831" s="9" t="s">
        <v>5072</v>
      </c>
      <c r="E831" s="10" t="s">
        <v>5073</v>
      </c>
      <c r="F831" s="11">
        <v>1062530.0</v>
      </c>
      <c r="G831" s="10"/>
      <c r="H831" s="10" t="s">
        <v>5074</v>
      </c>
      <c r="I831" s="10" t="s">
        <v>5075</v>
      </c>
      <c r="J831" s="10" t="s">
        <v>5076</v>
      </c>
      <c r="K831" s="10" t="s">
        <v>5077</v>
      </c>
      <c r="L831" s="10" t="s">
        <v>5076</v>
      </c>
      <c r="M831" s="11">
        <v>1998.0</v>
      </c>
      <c r="N831" s="10" t="s">
        <v>5078</v>
      </c>
      <c r="O831" s="10" t="s">
        <v>5078</v>
      </c>
      <c r="P831" s="11">
        <v>7375.0</v>
      </c>
      <c r="Q831" s="11">
        <v>5045.0</v>
      </c>
      <c r="R831" s="11">
        <v>8.5</v>
      </c>
      <c r="S831" s="10"/>
      <c r="T831" s="10"/>
      <c r="U831" s="10"/>
      <c r="V831" s="10"/>
      <c r="W831" s="10"/>
      <c r="X831" s="10"/>
      <c r="Y831" s="10"/>
    </row>
    <row r="832">
      <c r="A832" s="10" t="s">
        <v>5079</v>
      </c>
      <c r="B832" s="11">
        <v>1055458.0</v>
      </c>
      <c r="C832" s="10" t="s">
        <v>20</v>
      </c>
      <c r="D832" s="9" t="s">
        <v>5080</v>
      </c>
      <c r="E832" s="10"/>
      <c r="F832" s="10"/>
      <c r="G832" s="10"/>
      <c r="H832" s="10" t="s">
        <v>5081</v>
      </c>
      <c r="I832" s="10" t="s">
        <v>5082</v>
      </c>
      <c r="J832" s="10" t="s">
        <v>5083</v>
      </c>
      <c r="K832" s="10"/>
      <c r="L832" s="10" t="s">
        <v>5084</v>
      </c>
      <c r="M832" s="11">
        <v>1998.0</v>
      </c>
      <c r="N832" s="10"/>
      <c r="O832" s="10"/>
      <c r="P832" s="11">
        <v>7379.0</v>
      </c>
      <c r="Q832" s="10"/>
      <c r="R832" s="11">
        <v>11.0</v>
      </c>
      <c r="S832" s="10"/>
      <c r="T832" s="10"/>
      <c r="U832" s="10"/>
      <c r="V832" s="10"/>
      <c r="W832" s="10"/>
      <c r="X832" s="10"/>
      <c r="Y832" s="10"/>
    </row>
    <row r="833">
      <c r="A833" s="10" t="s">
        <v>5085</v>
      </c>
      <c r="B833" s="11">
        <v>1046406.0</v>
      </c>
      <c r="C833" s="8" t="s">
        <v>762</v>
      </c>
      <c r="D833" s="9" t="s">
        <v>5086</v>
      </c>
      <c r="E833" s="10" t="s">
        <v>5087</v>
      </c>
      <c r="F833" s="11">
        <v>1046406.0</v>
      </c>
      <c r="G833" s="10"/>
      <c r="H833" s="10" t="s">
        <v>5088</v>
      </c>
      <c r="I833" s="10" t="s">
        <v>5089</v>
      </c>
      <c r="J833" s="10" t="s">
        <v>5090</v>
      </c>
      <c r="K833" s="10" t="s">
        <v>5090</v>
      </c>
      <c r="L833" s="10" t="s">
        <v>5090</v>
      </c>
      <c r="M833" s="11">
        <v>1997.0</v>
      </c>
      <c r="N833" s="10" t="s">
        <v>3056</v>
      </c>
      <c r="O833" s="10" t="s">
        <v>3056</v>
      </c>
      <c r="P833" s="11">
        <v>6021.0</v>
      </c>
      <c r="Q833" s="11">
        <v>6020.0</v>
      </c>
      <c r="R833" s="11">
        <v>16.0</v>
      </c>
      <c r="S833" s="10"/>
      <c r="T833" s="10"/>
      <c r="U833" s="10"/>
      <c r="V833" s="10"/>
      <c r="W833" s="10"/>
      <c r="X833" s="10"/>
      <c r="Y833" s="10"/>
    </row>
    <row r="834">
      <c r="A834" s="10" t="s">
        <v>5091</v>
      </c>
      <c r="B834" s="11">
        <v>1302215.0</v>
      </c>
      <c r="C834" s="10" t="s">
        <v>20</v>
      </c>
      <c r="D834" s="9" t="s">
        <v>5092</v>
      </c>
      <c r="E834" s="10" t="s">
        <v>5093</v>
      </c>
      <c r="F834" s="11">
        <v>1302215.0</v>
      </c>
      <c r="G834" s="11">
        <v>1302215.0</v>
      </c>
      <c r="H834" s="10" t="s">
        <v>5094</v>
      </c>
      <c r="I834" s="10" t="s">
        <v>5095</v>
      </c>
      <c r="J834" s="10" t="s">
        <v>1537</v>
      </c>
      <c r="K834" s="10" t="s">
        <v>1537</v>
      </c>
      <c r="L834" s="10" t="s">
        <v>5096</v>
      </c>
      <c r="M834" s="11">
        <v>2015.0</v>
      </c>
      <c r="N834" s="10" t="s">
        <v>5097</v>
      </c>
      <c r="O834" s="10" t="s">
        <v>5097</v>
      </c>
      <c r="P834" s="11">
        <v>6211.0</v>
      </c>
      <c r="Q834" s="11">
        <v>6282.0</v>
      </c>
      <c r="R834" s="11">
        <v>21.0</v>
      </c>
      <c r="S834" s="10"/>
      <c r="T834" s="10"/>
      <c r="U834" s="10"/>
      <c r="V834" s="10"/>
      <c r="W834" s="10"/>
      <c r="X834" s="10"/>
      <c r="Y834" s="10"/>
    </row>
    <row r="835">
      <c r="A835" s="10" t="s">
        <v>5098</v>
      </c>
      <c r="B835" s="11">
        <v>1849253.0</v>
      </c>
      <c r="C835" s="10" t="s">
        <v>20</v>
      </c>
      <c r="D835" s="9" t="s">
        <v>5099</v>
      </c>
      <c r="E835" s="10" t="s">
        <v>5100</v>
      </c>
      <c r="F835" s="11">
        <v>1849253.0</v>
      </c>
      <c r="G835" s="11">
        <v>1849253.0</v>
      </c>
      <c r="H835" s="10" t="s">
        <v>5101</v>
      </c>
      <c r="I835" s="10" t="s">
        <v>5102</v>
      </c>
      <c r="J835" s="10" t="s">
        <v>5103</v>
      </c>
      <c r="K835" s="10" t="s">
        <v>5103</v>
      </c>
      <c r="L835" s="10" t="s">
        <v>5103</v>
      </c>
      <c r="M835" s="11">
        <v>2021.0</v>
      </c>
      <c r="N835" s="10" t="s">
        <v>2825</v>
      </c>
      <c r="O835" s="10" t="s">
        <v>2825</v>
      </c>
      <c r="P835" s="11">
        <v>6411.0</v>
      </c>
      <c r="Q835" s="11">
        <v>6411.0</v>
      </c>
      <c r="R835" s="11">
        <v>23.5</v>
      </c>
      <c r="S835" s="10"/>
      <c r="T835" s="10"/>
      <c r="U835" s="10"/>
      <c r="V835" s="10"/>
      <c r="W835" s="10"/>
      <c r="X835" s="10"/>
      <c r="Y835" s="10"/>
    </row>
    <row r="836">
      <c r="A836" s="10" t="s">
        <v>5104</v>
      </c>
      <c r="B836" s="11">
        <v>1751299.0</v>
      </c>
      <c r="C836" s="10" t="s">
        <v>20</v>
      </c>
      <c r="D836" s="9" t="s">
        <v>5105</v>
      </c>
      <c r="E836" s="10" t="s">
        <v>5106</v>
      </c>
      <c r="F836" s="11">
        <v>1751299.0</v>
      </c>
      <c r="G836" s="10"/>
      <c r="H836" s="10" t="s">
        <v>5107</v>
      </c>
      <c r="I836" s="10" t="s">
        <v>5108</v>
      </c>
      <c r="J836" s="10" t="s">
        <v>5109</v>
      </c>
      <c r="K836" s="10" t="s">
        <v>5109</v>
      </c>
      <c r="L836" s="10" t="s">
        <v>5109</v>
      </c>
      <c r="M836" s="11">
        <v>2019.0</v>
      </c>
      <c r="N836" s="10" t="s">
        <v>5110</v>
      </c>
      <c r="O836" s="10" t="s">
        <v>5110</v>
      </c>
      <c r="P836" s="11">
        <v>8731.0</v>
      </c>
      <c r="Q836" s="11">
        <v>2836.0</v>
      </c>
      <c r="R836" s="11">
        <v>15.0</v>
      </c>
      <c r="S836" s="10"/>
      <c r="T836" s="10"/>
      <c r="U836" s="10"/>
      <c r="V836" s="10"/>
      <c r="W836" s="10"/>
      <c r="X836" s="10"/>
      <c r="Y836" s="10"/>
    </row>
    <row r="837">
      <c r="A837" s="10" t="s">
        <v>5111</v>
      </c>
      <c r="B837" s="11">
        <v>1029744.0</v>
      </c>
      <c r="C837" s="10" t="s">
        <v>20</v>
      </c>
      <c r="D837" s="9" t="s">
        <v>5112</v>
      </c>
      <c r="E837" s="10" t="s">
        <v>5113</v>
      </c>
      <c r="F837" s="11">
        <v>1029744.0</v>
      </c>
      <c r="G837" s="10"/>
      <c r="H837" s="10" t="s">
        <v>5114</v>
      </c>
      <c r="I837" s="10" t="s">
        <v>5115</v>
      </c>
      <c r="J837" s="10" t="s">
        <v>5116</v>
      </c>
      <c r="K837" s="10" t="s">
        <v>5117</v>
      </c>
      <c r="L837" s="10" t="s">
        <v>5116</v>
      </c>
      <c r="M837" s="11">
        <v>1998.0</v>
      </c>
      <c r="N837" s="10" t="s">
        <v>5118</v>
      </c>
      <c r="O837" s="10" t="s">
        <v>5118</v>
      </c>
      <c r="P837" s="11">
        <v>7372.0</v>
      </c>
      <c r="Q837" s="11">
        <v>7372.0</v>
      </c>
      <c r="R837" s="11">
        <v>7.5</v>
      </c>
      <c r="S837" s="10"/>
      <c r="T837" s="10"/>
      <c r="U837" s="10"/>
      <c r="V837" s="10"/>
      <c r="W837" s="10"/>
      <c r="X837" s="10"/>
      <c r="Y837" s="10"/>
    </row>
    <row r="838">
      <c r="A838" s="10" t="s">
        <v>5119</v>
      </c>
      <c r="B838" s="11">
        <v>1052837.0</v>
      </c>
      <c r="C838" s="10" t="s">
        <v>20</v>
      </c>
      <c r="D838" s="9" t="s">
        <v>5120</v>
      </c>
      <c r="E838" s="10" t="s">
        <v>5121</v>
      </c>
      <c r="F838" s="11">
        <v>1052837.0</v>
      </c>
      <c r="G838" s="10"/>
      <c r="H838" s="10" t="s">
        <v>5122</v>
      </c>
      <c r="I838" s="10" t="s">
        <v>5123</v>
      </c>
      <c r="J838" s="10" t="s">
        <v>5124</v>
      </c>
      <c r="K838" s="10" t="s">
        <v>5124</v>
      </c>
      <c r="L838" s="10" t="s">
        <v>5125</v>
      </c>
      <c r="M838" s="11">
        <v>1998.0</v>
      </c>
      <c r="N838" s="10" t="s">
        <v>5126</v>
      </c>
      <c r="O838" s="10" t="s">
        <v>5126</v>
      </c>
      <c r="P838" s="11">
        <v>8731.0</v>
      </c>
      <c r="Q838" s="11">
        <v>2836.0</v>
      </c>
      <c r="R838" s="11">
        <v>8.0</v>
      </c>
      <c r="S838" s="10"/>
      <c r="T838" s="10"/>
      <c r="U838" s="10"/>
      <c r="V838" s="10"/>
      <c r="W838" s="10"/>
      <c r="X838" s="10"/>
      <c r="Y838" s="10"/>
    </row>
    <row r="839">
      <c r="A839" s="10" t="s">
        <v>5127</v>
      </c>
      <c r="B839" s="11">
        <v>1014586.0</v>
      </c>
      <c r="C839" s="10" t="s">
        <v>20</v>
      </c>
      <c r="D839" s="9" t="s">
        <v>5128</v>
      </c>
      <c r="E839" s="10" t="s">
        <v>5129</v>
      </c>
      <c r="F839" s="11">
        <v>1014586.0</v>
      </c>
      <c r="G839" s="10"/>
      <c r="H839" s="10" t="s">
        <v>5130</v>
      </c>
      <c r="I839" s="10" t="s">
        <v>5131</v>
      </c>
      <c r="J839" s="10" t="s">
        <v>5132</v>
      </c>
      <c r="K839" s="10" t="s">
        <v>5132</v>
      </c>
      <c r="L839" s="10" t="s">
        <v>5132</v>
      </c>
      <c r="M839" s="11">
        <v>1996.0</v>
      </c>
      <c r="N839" s="10" t="s">
        <v>5133</v>
      </c>
      <c r="O839" s="10" t="s">
        <v>5133</v>
      </c>
      <c r="P839" s="11">
        <v>7372.0</v>
      </c>
      <c r="Q839" s="11">
        <v>7372.0</v>
      </c>
      <c r="R839" s="11">
        <v>12.0</v>
      </c>
      <c r="S839" s="10"/>
      <c r="T839" s="10"/>
      <c r="U839" s="10"/>
      <c r="V839" s="10"/>
      <c r="W839" s="10"/>
      <c r="X839" s="10"/>
      <c r="Y839" s="10"/>
    </row>
    <row r="840">
      <c r="A840" s="10" t="s">
        <v>5134</v>
      </c>
      <c r="B840" s="11">
        <v>949956.0</v>
      </c>
      <c r="C840" s="10" t="s">
        <v>20</v>
      </c>
      <c r="D840" s="9" t="s">
        <v>5135</v>
      </c>
      <c r="E840" s="10" t="s">
        <v>5136</v>
      </c>
      <c r="F840" s="11">
        <v>949956.0</v>
      </c>
      <c r="G840" s="10"/>
      <c r="H840" s="10" t="s">
        <v>5137</v>
      </c>
      <c r="I840" s="10" t="s">
        <v>5138</v>
      </c>
      <c r="J840" s="10" t="s">
        <v>5139</v>
      </c>
      <c r="K840" s="10" t="s">
        <v>5140</v>
      </c>
      <c r="L840" s="10" t="s">
        <v>5139</v>
      </c>
      <c r="M840" s="11">
        <v>1995.0</v>
      </c>
      <c r="N840" s="10" t="s">
        <v>5141</v>
      </c>
      <c r="O840" s="10" t="s">
        <v>5141</v>
      </c>
      <c r="P840" s="11">
        <v>7372.0</v>
      </c>
      <c r="Q840" s="11">
        <v>7372.0</v>
      </c>
      <c r="R840" s="11">
        <v>12.0</v>
      </c>
      <c r="S840" s="10"/>
      <c r="T840" s="10"/>
      <c r="U840" s="10"/>
      <c r="V840" s="10"/>
      <c r="W840" s="10"/>
      <c r="X840" s="10"/>
      <c r="Y840" s="10"/>
    </row>
    <row r="841">
      <c r="A841" s="10" t="s">
        <v>5142</v>
      </c>
      <c r="B841" s="11">
        <v>893329.0</v>
      </c>
      <c r="C841" s="10" t="s">
        <v>20</v>
      </c>
      <c r="D841" s="9" t="s">
        <v>5143</v>
      </c>
      <c r="E841" s="10" t="s">
        <v>5144</v>
      </c>
      <c r="F841" s="11">
        <v>893329.0</v>
      </c>
      <c r="G841" s="10"/>
      <c r="H841" s="10" t="s">
        <v>5145</v>
      </c>
      <c r="I841" s="10" t="s">
        <v>5146</v>
      </c>
      <c r="J841" s="10" t="s">
        <v>5147</v>
      </c>
      <c r="K841" s="10" t="s">
        <v>5147</v>
      </c>
      <c r="L841" s="10" t="s">
        <v>5147</v>
      </c>
      <c r="M841" s="11">
        <v>1995.0</v>
      </c>
      <c r="N841" s="10" t="s">
        <v>47</v>
      </c>
      <c r="O841" s="10" t="s">
        <v>47</v>
      </c>
      <c r="P841" s="11">
        <v>7373.0</v>
      </c>
      <c r="Q841" s="11">
        <v>7373.0</v>
      </c>
      <c r="R841" s="11">
        <v>12.0</v>
      </c>
      <c r="S841" s="10"/>
      <c r="T841" s="10"/>
      <c r="U841" s="10"/>
      <c r="V841" s="10"/>
      <c r="W841" s="10"/>
      <c r="X841" s="10"/>
      <c r="Y841" s="10"/>
    </row>
    <row r="842">
      <c r="A842" s="10" t="s">
        <v>5148</v>
      </c>
      <c r="B842" s="11">
        <v>1091621.0</v>
      </c>
      <c r="C842" s="10" t="s">
        <v>20</v>
      </c>
      <c r="D842" s="9" t="s">
        <v>5149</v>
      </c>
      <c r="E842" s="10" t="s">
        <v>5150</v>
      </c>
      <c r="F842" s="11">
        <v>1091621.0</v>
      </c>
      <c r="G842" s="11">
        <v>1552000.0</v>
      </c>
      <c r="H842" s="10" t="s">
        <v>5151</v>
      </c>
      <c r="I842" s="10" t="s">
        <v>5152</v>
      </c>
      <c r="J842" s="10" t="s">
        <v>5153</v>
      </c>
      <c r="K842" s="10" t="s">
        <v>5154</v>
      </c>
      <c r="L842" s="10" t="s">
        <v>5153</v>
      </c>
      <c r="M842" s="11">
        <v>1999.0</v>
      </c>
      <c r="N842" s="10" t="s">
        <v>26</v>
      </c>
      <c r="O842" s="10" t="s">
        <v>26</v>
      </c>
      <c r="P842" s="11">
        <v>7389.0</v>
      </c>
      <c r="Q842" s="11">
        <v>7310.0</v>
      </c>
      <c r="R842" s="11">
        <v>12.0</v>
      </c>
      <c r="S842" s="10"/>
      <c r="T842" s="10"/>
      <c r="U842" s="10"/>
      <c r="V842" s="10"/>
      <c r="W842" s="10"/>
      <c r="X842" s="10"/>
      <c r="Y842" s="10"/>
    </row>
    <row r="843">
      <c r="A843" s="10" t="s">
        <v>5155</v>
      </c>
      <c r="B843" s="11">
        <v>1005179.0</v>
      </c>
      <c r="C843" s="10" t="s">
        <v>20</v>
      </c>
      <c r="D843" s="9" t="s">
        <v>5156</v>
      </c>
      <c r="E843" s="10" t="s">
        <v>5157</v>
      </c>
      <c r="F843" s="11">
        <v>1005179.0</v>
      </c>
      <c r="G843" s="10"/>
      <c r="H843" s="10" t="s">
        <v>5158</v>
      </c>
      <c r="I843" s="10" t="s">
        <v>5159</v>
      </c>
      <c r="J843" s="10" t="s">
        <v>5160</v>
      </c>
      <c r="K843" s="10" t="s">
        <v>5160</v>
      </c>
      <c r="L843" s="10"/>
      <c r="M843" s="11">
        <v>1996.0</v>
      </c>
      <c r="N843" s="10" t="s">
        <v>5161</v>
      </c>
      <c r="O843" s="10" t="s">
        <v>5161</v>
      </c>
      <c r="P843" s="11">
        <v>7373.0</v>
      </c>
      <c r="Q843" s="11">
        <v>3661.0</v>
      </c>
      <c r="R843" s="11">
        <v>7.5</v>
      </c>
      <c r="S843" s="10"/>
      <c r="T843" s="10"/>
      <c r="U843" s="10"/>
      <c r="V843" s="10"/>
      <c r="W843" s="10"/>
      <c r="X843" s="10"/>
      <c r="Y843" s="10"/>
    </row>
    <row r="844">
      <c r="A844" s="10" t="s">
        <v>5162</v>
      </c>
      <c r="B844" s="11">
        <v>1533615.0</v>
      </c>
      <c r="C844" s="10" t="s">
        <v>20</v>
      </c>
      <c r="D844" s="9" t="s">
        <v>5163</v>
      </c>
      <c r="E844" s="10" t="s">
        <v>5164</v>
      </c>
      <c r="F844" s="11">
        <v>1533615.0</v>
      </c>
      <c r="G844" s="11">
        <v>1533615.0</v>
      </c>
      <c r="H844" s="10" t="s">
        <v>5165</v>
      </c>
      <c r="I844" s="10" t="s">
        <v>5166</v>
      </c>
      <c r="J844" s="10" t="s">
        <v>5167</v>
      </c>
      <c r="K844" s="10" t="s">
        <v>5167</v>
      </c>
      <c r="L844" s="10"/>
      <c r="M844" s="11">
        <v>2016.0</v>
      </c>
      <c r="N844" s="10"/>
      <c r="O844" s="10"/>
      <c r="P844" s="11">
        <v>7375.0</v>
      </c>
      <c r="Q844" s="11">
        <v>6798.0</v>
      </c>
      <c r="R844" s="11">
        <v>10.0</v>
      </c>
      <c r="S844" s="10"/>
      <c r="T844" s="10"/>
      <c r="U844" s="10"/>
      <c r="V844" s="10"/>
      <c r="W844" s="10"/>
      <c r="X844" s="10"/>
      <c r="Y844" s="10"/>
    </row>
    <row r="845">
      <c r="A845" s="10" t="s">
        <v>5168</v>
      </c>
      <c r="B845" s="11">
        <v>1267201.0</v>
      </c>
      <c r="C845" s="10" t="s">
        <v>20</v>
      </c>
      <c r="D845" s="9" t="s">
        <v>5169</v>
      </c>
      <c r="E845" s="10" t="s">
        <v>5170</v>
      </c>
      <c r="F845" s="11">
        <v>1267201.0</v>
      </c>
      <c r="G845" s="10"/>
      <c r="H845" s="10" t="s">
        <v>5171</v>
      </c>
      <c r="I845" s="10" t="s">
        <v>5172</v>
      </c>
      <c r="J845" s="10" t="s">
        <v>5173</v>
      </c>
      <c r="K845" s="10" t="s">
        <v>5174</v>
      </c>
      <c r="L845" s="10" t="s">
        <v>5173</v>
      </c>
      <c r="M845" s="11">
        <v>2005.0</v>
      </c>
      <c r="N845" s="10" t="s">
        <v>5175</v>
      </c>
      <c r="O845" s="10" t="s">
        <v>5175</v>
      </c>
      <c r="P845" s="11">
        <v>6311.0</v>
      </c>
      <c r="Q845" s="11">
        <v>6331.0</v>
      </c>
      <c r="R845" s="11">
        <v>10.5</v>
      </c>
      <c r="S845" s="10"/>
      <c r="T845" s="10"/>
      <c r="U845" s="10"/>
      <c r="V845" s="10"/>
      <c r="W845" s="10"/>
      <c r="X845" s="10"/>
      <c r="Y845" s="10"/>
    </row>
    <row r="846">
      <c r="A846" s="10" t="s">
        <v>5176</v>
      </c>
      <c r="B846" s="11">
        <v>1299033.0</v>
      </c>
      <c r="C846" s="8" t="s">
        <v>762</v>
      </c>
      <c r="D846" s="9" t="s">
        <v>5177</v>
      </c>
      <c r="E846" s="10" t="s">
        <v>5178</v>
      </c>
      <c r="F846" s="11">
        <v>1299033.0</v>
      </c>
      <c r="G846" s="10"/>
      <c r="H846" s="10" t="s">
        <v>5179</v>
      </c>
      <c r="I846" s="10" t="s">
        <v>5180</v>
      </c>
      <c r="J846" s="10" t="s">
        <v>5181</v>
      </c>
      <c r="K846" s="10" t="s">
        <v>5181</v>
      </c>
      <c r="L846" s="10" t="s">
        <v>5181</v>
      </c>
      <c r="M846" s="11">
        <v>2004.0</v>
      </c>
      <c r="N846" s="10" t="s">
        <v>5182</v>
      </c>
      <c r="O846" s="10" t="s">
        <v>5182</v>
      </c>
      <c r="P846" s="11">
        <v>6211.0</v>
      </c>
      <c r="Q846" s="11">
        <v>6282.0</v>
      </c>
      <c r="R846" s="11">
        <v>18.0</v>
      </c>
      <c r="S846" s="10"/>
      <c r="T846" s="10"/>
      <c r="U846" s="10"/>
      <c r="V846" s="10"/>
      <c r="W846" s="10"/>
      <c r="X846" s="10"/>
      <c r="Y846" s="10"/>
    </row>
    <row r="847">
      <c r="A847" s="10" t="s">
        <v>5183</v>
      </c>
      <c r="B847" s="11">
        <v>1802768.0</v>
      </c>
      <c r="C847" s="10" t="s">
        <v>20</v>
      </c>
      <c r="D847" s="9" t="s">
        <v>5184</v>
      </c>
      <c r="E847" s="10" t="s">
        <v>5185</v>
      </c>
      <c r="F847" s="11">
        <v>1802768.0</v>
      </c>
      <c r="G847" s="11">
        <v>1802768.0</v>
      </c>
      <c r="H847" s="10" t="s">
        <v>5186</v>
      </c>
      <c r="I847" s="10" t="s">
        <v>5187</v>
      </c>
      <c r="J847" s="10" t="s">
        <v>5188</v>
      </c>
      <c r="K847" s="10" t="s">
        <v>5188</v>
      </c>
      <c r="L847" s="10" t="s">
        <v>5188</v>
      </c>
      <c r="M847" s="11">
        <v>2020.0</v>
      </c>
      <c r="N847" s="10" t="s">
        <v>5189</v>
      </c>
      <c r="O847" s="10" t="s">
        <v>5189</v>
      </c>
      <c r="P847" s="11">
        <v>6799.0</v>
      </c>
      <c r="Q847" s="11">
        <v>2834.0</v>
      </c>
      <c r="R847" s="11">
        <v>28.0</v>
      </c>
      <c r="S847" s="10"/>
      <c r="T847" s="10"/>
      <c r="U847" s="10"/>
      <c r="V847" s="10"/>
      <c r="W847" s="10"/>
      <c r="X847" s="10"/>
      <c r="Y847" s="10"/>
    </row>
    <row r="848">
      <c r="A848" s="10" t="s">
        <v>5190</v>
      </c>
      <c r="B848" s="11">
        <v>1065088.0</v>
      </c>
      <c r="C848" s="10" t="s">
        <v>20</v>
      </c>
      <c r="D848" s="9" t="s">
        <v>5191</v>
      </c>
      <c r="E848" s="10" t="s">
        <v>5192</v>
      </c>
      <c r="F848" s="11">
        <v>1065088.0</v>
      </c>
      <c r="G848" s="11">
        <v>1065088.0</v>
      </c>
      <c r="H848" s="10" t="s">
        <v>5193</v>
      </c>
      <c r="I848" s="10" t="s">
        <v>5194</v>
      </c>
      <c r="J848" s="10" t="s">
        <v>5195</v>
      </c>
      <c r="K848" s="10" t="s">
        <v>5195</v>
      </c>
      <c r="L848" s="10" t="s">
        <v>5195</v>
      </c>
      <c r="M848" s="11">
        <v>1998.0</v>
      </c>
      <c r="N848" s="10" t="s">
        <v>5196</v>
      </c>
      <c r="O848" s="10" t="s">
        <v>5196</v>
      </c>
      <c r="P848" s="11">
        <v>7389.0</v>
      </c>
      <c r="Q848" s="11">
        <v>5961.0</v>
      </c>
      <c r="R848" s="11">
        <v>18.0</v>
      </c>
      <c r="S848" s="10"/>
      <c r="T848" s="10"/>
      <c r="U848" s="10"/>
      <c r="V848" s="10"/>
      <c r="W848" s="10"/>
      <c r="X848" s="10"/>
      <c r="Y848" s="10"/>
    </row>
    <row r="849">
      <c r="A849" s="10" t="s">
        <v>5197</v>
      </c>
      <c r="B849" s="11">
        <v>1077926.0</v>
      </c>
      <c r="C849" s="10" t="s">
        <v>20</v>
      </c>
      <c r="D849" s="9" t="s">
        <v>5198</v>
      </c>
      <c r="E849" s="10" t="s">
        <v>5199</v>
      </c>
      <c r="F849" s="11">
        <v>1077926.0</v>
      </c>
      <c r="G849" s="10"/>
      <c r="H849" s="10" t="s">
        <v>5200</v>
      </c>
      <c r="I849" s="10" t="s">
        <v>5201</v>
      </c>
      <c r="J849" s="10" t="s">
        <v>5202</v>
      </c>
      <c r="K849" s="10" t="s">
        <v>5202</v>
      </c>
      <c r="L849" s="10" t="s">
        <v>5202</v>
      </c>
      <c r="M849" s="11">
        <v>1999.0</v>
      </c>
      <c r="N849" s="10" t="s">
        <v>5203</v>
      </c>
      <c r="O849" s="10" t="s">
        <v>5203</v>
      </c>
      <c r="P849" s="11">
        <v>7375.0</v>
      </c>
      <c r="Q849" s="11">
        <v>7389.0</v>
      </c>
      <c r="R849" s="11">
        <v>9.0</v>
      </c>
      <c r="S849" s="10"/>
      <c r="T849" s="10"/>
      <c r="U849" s="10"/>
      <c r="V849" s="10"/>
      <c r="W849" s="10"/>
      <c r="X849" s="10"/>
      <c r="Y849" s="10"/>
    </row>
    <row r="850">
      <c r="A850" s="10" t="s">
        <v>5204</v>
      </c>
      <c r="B850" s="11">
        <v>1100370.0</v>
      </c>
      <c r="C850" s="10" t="s">
        <v>20</v>
      </c>
      <c r="D850" s="9" t="s">
        <v>5205</v>
      </c>
      <c r="E850" s="10" t="s">
        <v>5206</v>
      </c>
      <c r="F850" s="10"/>
      <c r="G850" s="10"/>
      <c r="H850" s="10" t="s">
        <v>5207</v>
      </c>
      <c r="I850" s="10" t="s">
        <v>5208</v>
      </c>
      <c r="J850" s="10" t="s">
        <v>5209</v>
      </c>
      <c r="K850" s="10" t="s">
        <v>5210</v>
      </c>
      <c r="L850" s="10" t="s">
        <v>5209</v>
      </c>
      <c r="M850" s="11">
        <v>2000.0</v>
      </c>
      <c r="N850" s="10" t="s">
        <v>5211</v>
      </c>
      <c r="O850" s="10" t="s">
        <v>5211</v>
      </c>
      <c r="P850" s="11">
        <v>7379.0</v>
      </c>
      <c r="Q850" s="11">
        <v>7370.0</v>
      </c>
      <c r="R850" s="11">
        <v>20.0</v>
      </c>
      <c r="S850" s="10"/>
      <c r="T850" s="10"/>
      <c r="U850" s="10"/>
      <c r="V850" s="10"/>
      <c r="W850" s="10"/>
      <c r="X850" s="10"/>
      <c r="Y850" s="10"/>
    </row>
    <row r="851">
      <c r="A851" s="10" t="s">
        <v>5212</v>
      </c>
      <c r="B851" s="11">
        <v>1114040.0</v>
      </c>
      <c r="C851" s="10" t="s">
        <v>20</v>
      </c>
      <c r="D851" s="9" t="s">
        <v>5213</v>
      </c>
      <c r="E851" s="10" t="s">
        <v>5214</v>
      </c>
      <c r="F851" s="11">
        <v>1114040.0</v>
      </c>
      <c r="G851" s="10"/>
      <c r="H851" s="10" t="s">
        <v>5215</v>
      </c>
      <c r="I851" s="10" t="s">
        <v>5216</v>
      </c>
      <c r="J851" s="10" t="s">
        <v>5217</v>
      </c>
      <c r="K851" s="10" t="s">
        <v>5217</v>
      </c>
      <c r="L851" s="10" t="s">
        <v>5217</v>
      </c>
      <c r="M851" s="11">
        <v>2000.0</v>
      </c>
      <c r="N851" s="10" t="s">
        <v>5218</v>
      </c>
      <c r="O851" s="10" t="s">
        <v>5218</v>
      </c>
      <c r="P851" s="11">
        <v>7375.0</v>
      </c>
      <c r="Q851" s="11">
        <v>7371.0</v>
      </c>
      <c r="R851" s="11">
        <v>10.0</v>
      </c>
      <c r="S851" s="10"/>
      <c r="T851" s="10"/>
      <c r="U851" s="10"/>
      <c r="V851" s="10"/>
      <c r="W851" s="10"/>
      <c r="X851" s="10"/>
      <c r="Y851" s="10"/>
    </row>
    <row r="852">
      <c r="A852" s="10" t="s">
        <v>5219</v>
      </c>
      <c r="B852" s="11">
        <v>1431695.0</v>
      </c>
      <c r="C852" s="10" t="s">
        <v>20</v>
      </c>
      <c r="D852" s="9" t="s">
        <v>5220</v>
      </c>
      <c r="E852" s="10" t="s">
        <v>5221</v>
      </c>
      <c r="F852" s="11">
        <v>1431695.0</v>
      </c>
      <c r="G852" s="11">
        <v>1431695.0</v>
      </c>
      <c r="H852" s="10" t="s">
        <v>5222</v>
      </c>
      <c r="I852" s="10" t="s">
        <v>5223</v>
      </c>
      <c r="J852" s="10" t="s">
        <v>5224</v>
      </c>
      <c r="K852" s="10" t="s">
        <v>5224</v>
      </c>
      <c r="L852" s="10" t="s">
        <v>5224</v>
      </c>
      <c r="M852" s="11">
        <v>2021.0</v>
      </c>
      <c r="N852" s="10" t="s">
        <v>5225</v>
      </c>
      <c r="O852" s="10" t="s">
        <v>5225</v>
      </c>
      <c r="P852" s="11">
        <v>7372.0</v>
      </c>
      <c r="Q852" s="11">
        <v>7370.0</v>
      </c>
      <c r="R852" s="11">
        <v>25.0</v>
      </c>
      <c r="S852" s="10"/>
      <c r="T852" s="10"/>
      <c r="U852" s="10"/>
      <c r="V852" s="10"/>
      <c r="W852" s="10"/>
      <c r="X852" s="10"/>
      <c r="Y852" s="10"/>
    </row>
    <row r="853">
      <c r="A853" s="10" t="s">
        <v>5226</v>
      </c>
      <c r="B853" s="11">
        <v>1049758.0</v>
      </c>
      <c r="C853" s="10" t="s">
        <v>20</v>
      </c>
      <c r="D853" s="9" t="s">
        <v>5227</v>
      </c>
      <c r="E853" s="10" t="s">
        <v>5228</v>
      </c>
      <c r="F853" s="11">
        <v>1049758.0</v>
      </c>
      <c r="G853" s="10"/>
      <c r="H853" s="10" t="s">
        <v>5229</v>
      </c>
      <c r="I853" s="10" t="s">
        <v>5230</v>
      </c>
      <c r="J853" s="10" t="s">
        <v>5231</v>
      </c>
      <c r="K853" s="10" t="s">
        <v>5231</v>
      </c>
      <c r="L853" s="10" t="s">
        <v>5231</v>
      </c>
      <c r="M853" s="11">
        <v>1998.0</v>
      </c>
      <c r="N853" s="10" t="s">
        <v>5232</v>
      </c>
      <c r="O853" s="10" t="s">
        <v>5232</v>
      </c>
      <c r="P853" s="11">
        <v>8742.0</v>
      </c>
      <c r="Q853" s="11">
        <v>7373.0</v>
      </c>
      <c r="R853" s="11">
        <v>13.0</v>
      </c>
      <c r="S853" s="10"/>
      <c r="T853" s="10"/>
      <c r="U853" s="10"/>
      <c r="V853" s="10"/>
      <c r="W853" s="10"/>
      <c r="X853" s="10"/>
      <c r="Y853" s="10"/>
    </row>
    <row r="854">
      <c r="A854" s="10" t="s">
        <v>5233</v>
      </c>
      <c r="B854" s="11">
        <v>1842718.0</v>
      </c>
      <c r="C854" s="10" t="s">
        <v>20</v>
      </c>
      <c r="D854" s="9" t="s">
        <v>5234</v>
      </c>
      <c r="E854" s="10" t="s">
        <v>5235</v>
      </c>
      <c r="F854" s="11">
        <v>1842718.0</v>
      </c>
      <c r="G854" s="11">
        <v>1842718.0</v>
      </c>
      <c r="H854" s="10" t="s">
        <v>5236</v>
      </c>
      <c r="I854" s="10" t="s">
        <v>5237</v>
      </c>
      <c r="J854" s="10" t="s">
        <v>5238</v>
      </c>
      <c r="K854" s="10" t="s">
        <v>5238</v>
      </c>
      <c r="L854" s="10" t="s">
        <v>5238</v>
      </c>
      <c r="M854" s="11">
        <v>2021.0</v>
      </c>
      <c r="N854" s="10" t="s">
        <v>5239</v>
      </c>
      <c r="O854" s="10" t="s">
        <v>5239</v>
      </c>
      <c r="P854" s="11">
        <v>7372.0</v>
      </c>
      <c r="Q854" s="11">
        <v>7370.0</v>
      </c>
      <c r="R854" s="11">
        <v>18.0</v>
      </c>
      <c r="S854" s="10"/>
      <c r="T854" s="10"/>
      <c r="U854" s="10"/>
      <c r="V854" s="10"/>
      <c r="W854" s="10"/>
      <c r="X854" s="10"/>
      <c r="Y854" s="10"/>
    </row>
    <row r="855">
      <c r="A855" s="10" t="s">
        <v>5240</v>
      </c>
      <c r="B855" s="11">
        <v>1022964.0</v>
      </c>
      <c r="C855" s="8" t="s">
        <v>762</v>
      </c>
      <c r="D855" s="9" t="s">
        <v>5241</v>
      </c>
      <c r="E855" s="10" t="s">
        <v>5242</v>
      </c>
      <c r="F855" s="11">
        <v>1022964.0</v>
      </c>
      <c r="G855" s="10"/>
      <c r="H855" s="10" t="s">
        <v>5243</v>
      </c>
      <c r="I855" s="10" t="s">
        <v>5244</v>
      </c>
      <c r="J855" s="10" t="s">
        <v>5245</v>
      </c>
      <c r="K855" s="10" t="s">
        <v>5246</v>
      </c>
      <c r="L855" s="10" t="s">
        <v>5245</v>
      </c>
      <c r="M855" s="11">
        <v>1998.0</v>
      </c>
      <c r="N855" s="10" t="s">
        <v>5247</v>
      </c>
      <c r="O855" s="10" t="s">
        <v>5247</v>
      </c>
      <c r="P855" s="11">
        <v>7372.0</v>
      </c>
      <c r="Q855" s="11">
        <v>7374.0</v>
      </c>
      <c r="R855" s="11">
        <v>7.0</v>
      </c>
      <c r="S855" s="10"/>
      <c r="T855" s="10"/>
      <c r="U855" s="10"/>
      <c r="V855" s="10"/>
      <c r="W855" s="10"/>
      <c r="X855" s="10"/>
      <c r="Y855" s="10"/>
    </row>
    <row r="856">
      <c r="A856" s="10" t="s">
        <v>5248</v>
      </c>
      <c r="B856" s="11">
        <v>1262279.0</v>
      </c>
      <c r="C856" s="8" t="s">
        <v>762</v>
      </c>
      <c r="D856" s="9" t="s">
        <v>5249</v>
      </c>
      <c r="E856" s="10" t="s">
        <v>5250</v>
      </c>
      <c r="F856" s="11">
        <v>1262279.0</v>
      </c>
      <c r="G856" s="10"/>
      <c r="H856" s="10" t="s">
        <v>5251</v>
      </c>
      <c r="I856" s="10" t="s">
        <v>5252</v>
      </c>
      <c r="J856" s="10" t="s">
        <v>5253</v>
      </c>
      <c r="K856" s="10" t="s">
        <v>5253</v>
      </c>
      <c r="L856" s="10" t="s">
        <v>5253</v>
      </c>
      <c r="M856" s="11">
        <v>2003.0</v>
      </c>
      <c r="N856" s="10" t="s">
        <v>5254</v>
      </c>
      <c r="O856" s="10" t="s">
        <v>5254</v>
      </c>
      <c r="P856" s="11">
        <v>6141.0</v>
      </c>
      <c r="Q856" s="11">
        <v>6141.0</v>
      </c>
      <c r="R856" s="11">
        <v>16.0</v>
      </c>
      <c r="S856" s="10"/>
      <c r="T856" s="10"/>
      <c r="U856" s="10"/>
      <c r="V856" s="10"/>
      <c r="W856" s="10"/>
      <c r="X856" s="10"/>
      <c r="Y856" s="10"/>
    </row>
    <row r="857">
      <c r="A857" s="10" t="s">
        <v>5255</v>
      </c>
      <c r="B857" s="11">
        <v>926234.0</v>
      </c>
      <c r="C857" s="10" t="s">
        <v>20</v>
      </c>
      <c r="D857" s="9" t="s">
        <v>5256</v>
      </c>
      <c r="E857" s="10" t="s">
        <v>5257</v>
      </c>
      <c r="F857" s="11">
        <v>926234.0</v>
      </c>
      <c r="G857" s="10"/>
      <c r="H857" s="10"/>
      <c r="I857" s="10" t="s">
        <v>5258</v>
      </c>
      <c r="J857" s="10" t="s">
        <v>5259</v>
      </c>
      <c r="K857" s="10" t="s">
        <v>5259</v>
      </c>
      <c r="L857" s="10" t="s">
        <v>5259</v>
      </c>
      <c r="M857" s="11">
        <v>1994.0</v>
      </c>
      <c r="N857" s="10" t="s">
        <v>5260</v>
      </c>
      <c r="O857" s="10" t="s">
        <v>5260</v>
      </c>
      <c r="P857" s="11">
        <v>6531.0</v>
      </c>
      <c r="Q857" s="11">
        <v>6531.0</v>
      </c>
      <c r="R857" s="11">
        <v>5.0</v>
      </c>
      <c r="S857" s="10"/>
      <c r="T857" s="10"/>
      <c r="U857" s="10"/>
      <c r="V857" s="10"/>
      <c r="W857" s="10"/>
      <c r="X857" s="10"/>
      <c r="Y857" s="10"/>
    </row>
    <row r="858">
      <c r="A858" s="10" t="s">
        <v>5261</v>
      </c>
      <c r="B858" s="11">
        <v>1736946.0</v>
      </c>
      <c r="C858" s="10" t="s">
        <v>20</v>
      </c>
      <c r="D858" s="9" t="s">
        <v>5262</v>
      </c>
      <c r="E858" s="10" t="s">
        <v>5263</v>
      </c>
      <c r="F858" s="11">
        <v>1736946.0</v>
      </c>
      <c r="G858" s="11">
        <v>1736946.0</v>
      </c>
      <c r="H858" s="10" t="s">
        <v>5264</v>
      </c>
      <c r="I858" s="10" t="s">
        <v>5265</v>
      </c>
      <c r="J858" s="10" t="s">
        <v>5266</v>
      </c>
      <c r="K858" s="10" t="s">
        <v>5266</v>
      </c>
      <c r="L858" s="10" t="s">
        <v>5267</v>
      </c>
      <c r="M858" s="11">
        <v>2018.0</v>
      </c>
      <c r="N858" s="10" t="s">
        <v>5268</v>
      </c>
      <c r="O858" s="10" t="s">
        <v>5268</v>
      </c>
      <c r="P858" s="11">
        <v>7372.0</v>
      </c>
      <c r="Q858" s="11">
        <v>3669.0</v>
      </c>
      <c r="R858" s="11">
        <v>16.0</v>
      </c>
      <c r="S858" s="10"/>
      <c r="T858" s="10"/>
      <c r="U858" s="10"/>
      <c r="V858" s="10"/>
      <c r="W858" s="10"/>
      <c r="X858" s="10"/>
      <c r="Y858" s="10"/>
    </row>
    <row r="859">
      <c r="A859" s="10" t="s">
        <v>5269</v>
      </c>
      <c r="B859" s="11">
        <v>1781730.0</v>
      </c>
      <c r="C859" s="8" t="s">
        <v>762</v>
      </c>
      <c r="D859" s="9" t="s">
        <v>5270</v>
      </c>
      <c r="E859" s="10" t="s">
        <v>5271</v>
      </c>
      <c r="F859" s="11">
        <v>1781730.0</v>
      </c>
      <c r="G859" s="11">
        <v>1781730.0</v>
      </c>
      <c r="H859" s="10" t="s">
        <v>5272</v>
      </c>
      <c r="I859" s="10" t="s">
        <v>5273</v>
      </c>
      <c r="J859" s="10" t="s">
        <v>5274</v>
      </c>
      <c r="K859" s="10" t="s">
        <v>5274</v>
      </c>
      <c r="L859" s="10" t="s">
        <v>5274</v>
      </c>
      <c r="M859" s="11">
        <v>2021.0</v>
      </c>
      <c r="N859" s="10" t="s">
        <v>5275</v>
      </c>
      <c r="O859" s="10" t="s">
        <v>5275</v>
      </c>
      <c r="P859" s="11">
        <v>6021.0</v>
      </c>
      <c r="Q859" s="11">
        <v>6020.0</v>
      </c>
      <c r="R859" s="11">
        <v>25.0</v>
      </c>
      <c r="S859" s="10"/>
      <c r="T859" s="10"/>
      <c r="U859" s="10"/>
      <c r="V859" s="10"/>
      <c r="W859" s="10"/>
      <c r="X859" s="10"/>
      <c r="Y859" s="10"/>
    </row>
    <row r="860">
      <c r="A860" s="10" t="s">
        <v>5276</v>
      </c>
      <c r="B860" s="11">
        <v>1042185.0</v>
      </c>
      <c r="C860" s="10" t="s">
        <v>20</v>
      </c>
      <c r="D860" s="9" t="s">
        <v>5277</v>
      </c>
      <c r="E860" s="10" t="s">
        <v>5278</v>
      </c>
      <c r="F860" s="11">
        <v>1042185.0</v>
      </c>
      <c r="G860" s="10"/>
      <c r="H860" s="10" t="s">
        <v>5279</v>
      </c>
      <c r="I860" s="10" t="s">
        <v>5280</v>
      </c>
      <c r="J860" s="10" t="s">
        <v>5281</v>
      </c>
      <c r="K860" s="10" t="s">
        <v>5281</v>
      </c>
      <c r="L860" s="10" t="s">
        <v>5281</v>
      </c>
      <c r="M860" s="11">
        <v>1999.0</v>
      </c>
      <c r="N860" s="10" t="s">
        <v>5282</v>
      </c>
      <c r="O860" s="10" t="s">
        <v>5282</v>
      </c>
      <c r="P860" s="11">
        <v>7372.0</v>
      </c>
      <c r="Q860" s="11">
        <v>7372.0</v>
      </c>
      <c r="R860" s="11">
        <v>19.0</v>
      </c>
      <c r="S860" s="10"/>
      <c r="T860" s="10"/>
      <c r="U860" s="10"/>
      <c r="V860" s="10"/>
      <c r="W860" s="10"/>
      <c r="X860" s="10"/>
      <c r="Y860" s="10"/>
    </row>
    <row r="861">
      <c r="A861" s="10" t="s">
        <v>5283</v>
      </c>
      <c r="B861" s="11">
        <v>1100682.0</v>
      </c>
      <c r="C861" s="10" t="s">
        <v>20</v>
      </c>
      <c r="D861" s="9" t="s">
        <v>5284</v>
      </c>
      <c r="E861" s="10" t="s">
        <v>5285</v>
      </c>
      <c r="F861" s="11">
        <v>1100682.0</v>
      </c>
      <c r="G861" s="11">
        <v>1100682.0</v>
      </c>
      <c r="H861" s="10" t="s">
        <v>5286</v>
      </c>
      <c r="I861" s="10" t="s">
        <v>5287</v>
      </c>
      <c r="J861" s="10" t="s">
        <v>5288</v>
      </c>
      <c r="K861" s="10" t="s">
        <v>5288</v>
      </c>
      <c r="L861" s="10" t="s">
        <v>5288</v>
      </c>
      <c r="M861" s="11">
        <v>2000.0</v>
      </c>
      <c r="N861" s="10" t="s">
        <v>5289</v>
      </c>
      <c r="O861" s="10" t="s">
        <v>5289</v>
      </c>
      <c r="P861" s="11">
        <v>8731.0</v>
      </c>
      <c r="Q861" s="11">
        <v>8731.0</v>
      </c>
      <c r="R861" s="11">
        <v>16.0</v>
      </c>
      <c r="S861" s="10"/>
      <c r="T861" s="10"/>
      <c r="U861" s="10"/>
      <c r="V861" s="10"/>
      <c r="W861" s="10"/>
      <c r="X861" s="10"/>
      <c r="Y861" s="10"/>
    </row>
    <row r="862">
      <c r="A862" s="10" t="s">
        <v>5290</v>
      </c>
      <c r="B862" s="11">
        <v>1792581.0</v>
      </c>
      <c r="C862" s="10" t="s">
        <v>20</v>
      </c>
      <c r="D862" s="9" t="s">
        <v>5291</v>
      </c>
      <c r="E862" s="10" t="s">
        <v>5292</v>
      </c>
      <c r="F862" s="11">
        <v>1792581.0</v>
      </c>
      <c r="G862" s="10"/>
      <c r="H862" s="10" t="s">
        <v>5293</v>
      </c>
      <c r="I862" s="10" t="s">
        <v>5294</v>
      </c>
      <c r="J862" s="10" t="s">
        <v>5295</v>
      </c>
      <c r="K862" s="10" t="s">
        <v>5296</v>
      </c>
      <c r="L862" s="10" t="s">
        <v>5295</v>
      </c>
      <c r="M862" s="11">
        <v>2020.0</v>
      </c>
      <c r="N862" s="10" t="s">
        <v>5297</v>
      </c>
      <c r="O862" s="10" t="s">
        <v>5297</v>
      </c>
      <c r="P862" s="11">
        <v>8731.0</v>
      </c>
      <c r="Q862" s="11">
        <v>2836.0</v>
      </c>
      <c r="R862" s="11">
        <v>12.0</v>
      </c>
      <c r="S862" s="10"/>
      <c r="T862" s="10"/>
      <c r="U862" s="10"/>
      <c r="V862" s="10"/>
      <c r="W862" s="10"/>
      <c r="X862" s="10"/>
      <c r="Y862" s="10"/>
    </row>
    <row r="863">
      <c r="A863" s="10" t="s">
        <v>5298</v>
      </c>
      <c r="B863" s="11">
        <v>1351285.0</v>
      </c>
      <c r="C863" s="10" t="s">
        <v>20</v>
      </c>
      <c r="D863" s="9" t="s">
        <v>5299</v>
      </c>
      <c r="E863" s="10" t="s">
        <v>5300</v>
      </c>
      <c r="F863" s="11">
        <v>1351285.0</v>
      </c>
      <c r="G863" s="10"/>
      <c r="H863" s="10" t="s">
        <v>5301</v>
      </c>
      <c r="I863" s="10" t="s">
        <v>5302</v>
      </c>
      <c r="J863" s="10" t="s">
        <v>5303</v>
      </c>
      <c r="K863" s="10" t="s">
        <v>5303</v>
      </c>
      <c r="L863" s="10" t="s">
        <v>5303</v>
      </c>
      <c r="M863" s="11">
        <v>2009.0</v>
      </c>
      <c r="N863" s="10" t="s">
        <v>5304</v>
      </c>
      <c r="O863" s="10" t="s">
        <v>5304</v>
      </c>
      <c r="P863" s="11">
        <v>7372.0</v>
      </c>
      <c r="Q863" s="11">
        <v>7370.0</v>
      </c>
      <c r="R863" s="11">
        <v>18.0</v>
      </c>
      <c r="S863" s="10"/>
      <c r="T863" s="10"/>
      <c r="U863" s="10"/>
      <c r="V863" s="10"/>
      <c r="W863" s="10"/>
      <c r="X863" s="10"/>
      <c r="Y863" s="10"/>
    </row>
    <row r="864">
      <c r="A864" s="10" t="s">
        <v>5305</v>
      </c>
      <c r="B864" s="11">
        <v>1543151.0</v>
      </c>
      <c r="C864" s="10" t="s">
        <v>20</v>
      </c>
      <c r="D864" s="9" t="s">
        <v>5306</v>
      </c>
      <c r="E864" s="10" t="s">
        <v>5307</v>
      </c>
      <c r="F864" s="11">
        <v>1543151.0</v>
      </c>
      <c r="G864" s="11">
        <v>1543151.0</v>
      </c>
      <c r="H864" s="10" t="s">
        <v>5308</v>
      </c>
      <c r="I864" s="10" t="s">
        <v>5309</v>
      </c>
      <c r="J864" s="10" t="s">
        <v>5310</v>
      </c>
      <c r="K864" s="10" t="s">
        <v>5310</v>
      </c>
      <c r="L864" s="10" t="s">
        <v>5310</v>
      </c>
      <c r="M864" s="11">
        <v>2019.0</v>
      </c>
      <c r="N864" s="10" t="s">
        <v>5311</v>
      </c>
      <c r="O864" s="10" t="s">
        <v>5311</v>
      </c>
      <c r="P864" s="11">
        <v>7372.0</v>
      </c>
      <c r="Q864" s="11">
        <v>4100.0</v>
      </c>
      <c r="R864" s="11">
        <v>45.0</v>
      </c>
      <c r="S864" s="10"/>
      <c r="T864" s="10"/>
      <c r="U864" s="10"/>
      <c r="V864" s="10"/>
      <c r="W864" s="10"/>
      <c r="X864" s="10"/>
      <c r="Y864" s="10"/>
    </row>
    <row r="865">
      <c r="A865" s="10" t="s">
        <v>5312</v>
      </c>
      <c r="B865" s="11">
        <v>1064863.0</v>
      </c>
      <c r="C865" s="10" t="s">
        <v>20</v>
      </c>
      <c r="D865" s="9" t="s">
        <v>5313</v>
      </c>
      <c r="E865" s="10" t="s">
        <v>5314</v>
      </c>
      <c r="F865" s="11">
        <v>1064863.0</v>
      </c>
      <c r="G865" s="10"/>
      <c r="H865" s="10" t="s">
        <v>5315</v>
      </c>
      <c r="I865" s="10" t="s">
        <v>5316</v>
      </c>
      <c r="J865" s="10" t="s">
        <v>5317</v>
      </c>
      <c r="K865" s="10" t="s">
        <v>5318</v>
      </c>
      <c r="L865" s="10" t="s">
        <v>5317</v>
      </c>
      <c r="M865" s="11">
        <v>2001.0</v>
      </c>
      <c r="N865" s="10"/>
      <c r="O865" s="10"/>
      <c r="P865" s="11">
        <v>6324.0</v>
      </c>
      <c r="Q865" s="11">
        <v>6324.0</v>
      </c>
      <c r="R865" s="11">
        <v>17.0</v>
      </c>
      <c r="S865" s="10"/>
      <c r="T865" s="10"/>
      <c r="U865" s="10"/>
      <c r="V865" s="10"/>
      <c r="W865" s="10"/>
      <c r="X865" s="10"/>
      <c r="Y865" s="10"/>
    </row>
    <row r="866">
      <c r="A866" s="10" t="s">
        <v>5319</v>
      </c>
      <c r="B866" s="11">
        <v>1428336.0</v>
      </c>
      <c r="C866" s="10" t="s">
        <v>749</v>
      </c>
      <c r="D866" s="9" t="s">
        <v>5320</v>
      </c>
      <c r="E866" s="10" t="s">
        <v>5321</v>
      </c>
      <c r="F866" s="11">
        <v>1428336.0</v>
      </c>
      <c r="G866" s="11">
        <v>1428336.0</v>
      </c>
      <c r="H866" s="10" t="s">
        <v>5322</v>
      </c>
      <c r="I866" s="10" t="s">
        <v>5323</v>
      </c>
      <c r="J866" s="10" t="s">
        <v>5324</v>
      </c>
      <c r="K866" s="10" t="s">
        <v>5324</v>
      </c>
      <c r="L866" s="10" t="s">
        <v>5324</v>
      </c>
      <c r="M866" s="11">
        <v>2014.0</v>
      </c>
      <c r="N866" s="10" t="s">
        <v>5325</v>
      </c>
      <c r="O866" s="10" t="s">
        <v>5325</v>
      </c>
      <c r="P866" s="11">
        <v>6321.0</v>
      </c>
      <c r="Q866" s="11">
        <v>6324.0</v>
      </c>
      <c r="R866" s="11">
        <v>14.0</v>
      </c>
      <c r="S866" s="10"/>
      <c r="T866" s="10"/>
      <c r="U866" s="10"/>
      <c r="V866" s="10"/>
      <c r="W866" s="10"/>
      <c r="X866" s="10"/>
      <c r="Y866" s="10"/>
    </row>
    <row r="867">
      <c r="A867" s="10" t="s">
        <v>5326</v>
      </c>
      <c r="B867" s="11">
        <v>1035096.0</v>
      </c>
      <c r="C867" s="10" t="s">
        <v>20</v>
      </c>
      <c r="D867" s="9" t="s">
        <v>5327</v>
      </c>
      <c r="E867" s="10" t="s">
        <v>5328</v>
      </c>
      <c r="F867" s="11">
        <v>1035096.0</v>
      </c>
      <c r="G867" s="10"/>
      <c r="H867" s="10" t="s">
        <v>5329</v>
      </c>
      <c r="I867" s="10" t="s">
        <v>5330</v>
      </c>
      <c r="J867" s="10" t="s">
        <v>5331</v>
      </c>
      <c r="K867" s="10" t="s">
        <v>5332</v>
      </c>
      <c r="L867" s="10" t="s">
        <v>5331</v>
      </c>
      <c r="M867" s="11">
        <v>2000.0</v>
      </c>
      <c r="N867" s="10" t="s">
        <v>5211</v>
      </c>
      <c r="O867" s="10" t="s">
        <v>5211</v>
      </c>
      <c r="P867" s="11">
        <v>7372.0</v>
      </c>
      <c r="Q867" s="11">
        <v>7372.0</v>
      </c>
      <c r="R867" s="11">
        <v>35.0</v>
      </c>
      <c r="S867" s="10"/>
      <c r="T867" s="10"/>
      <c r="U867" s="10"/>
      <c r="V867" s="10"/>
      <c r="W867" s="10"/>
      <c r="X867" s="10"/>
      <c r="Y867" s="10"/>
    </row>
    <row r="868">
      <c r="A868" s="10" t="s">
        <v>5333</v>
      </c>
      <c r="B868" s="11">
        <v>1650164.0</v>
      </c>
      <c r="C868" s="10" t="s">
        <v>749</v>
      </c>
      <c r="D868" s="9" t="s">
        <v>5334</v>
      </c>
      <c r="E868" s="10" t="s">
        <v>5335</v>
      </c>
      <c r="F868" s="11">
        <v>1650164.0</v>
      </c>
      <c r="G868" s="11">
        <v>1650164.0</v>
      </c>
      <c r="H868" s="10" t="s">
        <v>5336</v>
      </c>
      <c r="I868" s="10" t="s">
        <v>5337</v>
      </c>
      <c r="J868" s="10" t="s">
        <v>5338</v>
      </c>
      <c r="K868" s="10" t="s">
        <v>5338</v>
      </c>
      <c r="L868" s="10" t="s">
        <v>5338</v>
      </c>
      <c r="M868" s="11">
        <v>2021.0</v>
      </c>
      <c r="N868" s="10" t="s">
        <v>5339</v>
      </c>
      <c r="O868" s="10" t="s">
        <v>5339</v>
      </c>
      <c r="P868" s="11">
        <v>7372.0</v>
      </c>
      <c r="Q868" s="11">
        <v>7389.0</v>
      </c>
      <c r="R868" s="11">
        <v>40.0</v>
      </c>
      <c r="S868" s="10"/>
      <c r="T868" s="10"/>
      <c r="U868" s="10"/>
      <c r="V868" s="10"/>
      <c r="W868" s="10"/>
      <c r="X868" s="10"/>
      <c r="Y868" s="10"/>
    </row>
    <row r="869">
      <c r="A869" s="10" t="s">
        <v>5340</v>
      </c>
      <c r="B869" s="11">
        <v>1360901.0</v>
      </c>
      <c r="C869" s="8" t="s">
        <v>762</v>
      </c>
      <c r="D869" s="9" t="s">
        <v>5341</v>
      </c>
      <c r="E869" s="10" t="s">
        <v>5342</v>
      </c>
      <c r="F869" s="11">
        <v>1360901.0</v>
      </c>
      <c r="G869" s="11">
        <v>1360901.0</v>
      </c>
      <c r="H869" s="10" t="s">
        <v>5343</v>
      </c>
      <c r="I869" s="10" t="s">
        <v>5344</v>
      </c>
      <c r="J869" s="10" t="s">
        <v>3915</v>
      </c>
      <c r="K869" s="10" t="s">
        <v>3915</v>
      </c>
      <c r="L869" s="10" t="s">
        <v>3915</v>
      </c>
      <c r="M869" s="11">
        <v>2006.0</v>
      </c>
      <c r="N869" s="10" t="s">
        <v>5345</v>
      </c>
      <c r="O869" s="10" t="s">
        <v>5345</v>
      </c>
      <c r="P869" s="11">
        <v>6282.0</v>
      </c>
      <c r="Q869" s="11">
        <v>6200.0</v>
      </c>
      <c r="R869" s="11">
        <v>21.0</v>
      </c>
      <c r="S869" s="10"/>
      <c r="T869" s="10"/>
      <c r="U869" s="10"/>
      <c r="V869" s="10"/>
      <c r="W869" s="10"/>
      <c r="X869" s="10"/>
      <c r="Y869" s="10"/>
    </row>
    <row r="870">
      <c r="A870" s="10" t="s">
        <v>5346</v>
      </c>
      <c r="B870" s="11">
        <v>1085776.0</v>
      </c>
      <c r="C870" s="10" t="s">
        <v>20</v>
      </c>
      <c r="D870" s="9" t="s">
        <v>5347</v>
      </c>
      <c r="E870" s="10"/>
      <c r="F870" s="10"/>
      <c r="G870" s="10"/>
      <c r="H870" s="10" t="s">
        <v>5348</v>
      </c>
      <c r="I870" s="10" t="s">
        <v>5349</v>
      </c>
      <c r="J870" s="10" t="s">
        <v>5350</v>
      </c>
      <c r="K870" s="10"/>
      <c r="L870" s="10" t="s">
        <v>5350</v>
      </c>
      <c r="M870" s="11">
        <v>1999.0</v>
      </c>
      <c r="N870" s="10"/>
      <c r="O870" s="10"/>
      <c r="P870" s="11">
        <v>7372.0</v>
      </c>
      <c r="Q870" s="10"/>
      <c r="R870" s="11">
        <v>16.0</v>
      </c>
      <c r="S870" s="10"/>
      <c r="T870" s="10"/>
      <c r="U870" s="10"/>
      <c r="V870" s="10"/>
      <c r="W870" s="10"/>
      <c r="X870" s="10"/>
      <c r="Y870" s="10"/>
    </row>
    <row r="871">
      <c r="A871" s="10" t="s">
        <v>5351</v>
      </c>
      <c r="B871" s="11">
        <v>1087728.0</v>
      </c>
      <c r="C871" s="10" t="s">
        <v>20</v>
      </c>
      <c r="D871" s="9" t="s">
        <v>5352</v>
      </c>
      <c r="E871" s="10" t="s">
        <v>5353</v>
      </c>
      <c r="F871" s="11">
        <v>1087728.0</v>
      </c>
      <c r="G871" s="10"/>
      <c r="H871" s="10" t="s">
        <v>5354</v>
      </c>
      <c r="I871" s="10" t="s">
        <v>5355</v>
      </c>
      <c r="J871" s="10" t="s">
        <v>5356</v>
      </c>
      <c r="K871" s="10" t="s">
        <v>5357</v>
      </c>
      <c r="L871" s="10" t="s">
        <v>5356</v>
      </c>
      <c r="M871" s="11">
        <v>1999.0</v>
      </c>
      <c r="N871" s="10" t="s">
        <v>5358</v>
      </c>
      <c r="O871" s="10" t="s">
        <v>5358</v>
      </c>
      <c r="P871" s="11">
        <v>7361.0</v>
      </c>
      <c r="Q871" s="11">
        <v>7370.0</v>
      </c>
      <c r="R871" s="11">
        <v>8.0</v>
      </c>
      <c r="S871" s="10"/>
      <c r="T871" s="10"/>
      <c r="U871" s="10"/>
      <c r="V871" s="10"/>
      <c r="W871" s="10"/>
      <c r="X871" s="10"/>
      <c r="Y871" s="10"/>
    </row>
    <row r="872">
      <c r="A872" s="10" t="s">
        <v>5359</v>
      </c>
      <c r="B872" s="11">
        <v>1078284.0</v>
      </c>
      <c r="C872" s="10" t="s">
        <v>20</v>
      </c>
      <c r="D872" s="9" t="s">
        <v>5360</v>
      </c>
      <c r="E872" s="10" t="s">
        <v>5361</v>
      </c>
      <c r="F872" s="11">
        <v>1078284.0</v>
      </c>
      <c r="G872" s="10"/>
      <c r="H872" s="10" t="s">
        <v>5362</v>
      </c>
      <c r="I872" s="10" t="s">
        <v>5363</v>
      </c>
      <c r="J872" s="10"/>
      <c r="K872" s="10" t="s">
        <v>5364</v>
      </c>
      <c r="L872" s="10"/>
      <c r="M872" s="11">
        <v>1999.0</v>
      </c>
      <c r="N872" s="10" t="s">
        <v>5365</v>
      </c>
      <c r="O872" s="10" t="s">
        <v>5365</v>
      </c>
      <c r="P872" s="11">
        <v>7374.0</v>
      </c>
      <c r="Q872" s="11">
        <v>7370.0</v>
      </c>
      <c r="R872" s="11">
        <v>15.0</v>
      </c>
      <c r="S872" s="10"/>
      <c r="T872" s="10"/>
      <c r="U872" s="10"/>
      <c r="V872" s="10"/>
      <c r="W872" s="10"/>
      <c r="X872" s="10"/>
      <c r="Y872" s="10"/>
    </row>
    <row r="873">
      <c r="A873" s="10" t="s">
        <v>5366</v>
      </c>
      <c r="B873" s="11">
        <v>1817713.0</v>
      </c>
      <c r="C873" s="10" t="s">
        <v>20</v>
      </c>
      <c r="D873" s="9" t="s">
        <v>5367</v>
      </c>
      <c r="E873" s="10" t="s">
        <v>5368</v>
      </c>
      <c r="F873" s="11">
        <v>1817713.0</v>
      </c>
      <c r="G873" s="11">
        <v>1817713.0</v>
      </c>
      <c r="H873" s="10" t="s">
        <v>5369</v>
      </c>
      <c r="I873" s="10" t="s">
        <v>5370</v>
      </c>
      <c r="J873" s="10" t="s">
        <v>5371</v>
      </c>
      <c r="K873" s="10" t="s">
        <v>5371</v>
      </c>
      <c r="L873" s="10" t="s">
        <v>5371</v>
      </c>
      <c r="M873" s="11">
        <v>2021.0</v>
      </c>
      <c r="N873" s="10" t="s">
        <v>5372</v>
      </c>
      <c r="O873" s="10" t="s">
        <v>5372</v>
      </c>
      <c r="P873" s="11">
        <v>8731.0</v>
      </c>
      <c r="Q873" s="11">
        <v>2836.0</v>
      </c>
      <c r="R873" s="11">
        <v>17.0</v>
      </c>
      <c r="S873" s="10"/>
      <c r="T873" s="10"/>
      <c r="U873" s="10"/>
      <c r="V873" s="10"/>
      <c r="W873" s="10"/>
      <c r="X873" s="10"/>
      <c r="Y873" s="10"/>
    </row>
    <row r="874">
      <c r="A874" s="10" t="s">
        <v>5373</v>
      </c>
      <c r="B874" s="11">
        <v>914069.0</v>
      </c>
      <c r="C874" s="10" t="s">
        <v>20</v>
      </c>
      <c r="D874" s="9" t="s">
        <v>5374</v>
      </c>
      <c r="E874" s="10" t="s">
        <v>5375</v>
      </c>
      <c r="F874" s="11">
        <v>914069.0</v>
      </c>
      <c r="G874" s="10"/>
      <c r="H874" s="10" t="s">
        <v>5376</v>
      </c>
      <c r="I874" s="10" t="s">
        <v>5377</v>
      </c>
      <c r="J874" s="10" t="s">
        <v>5378</v>
      </c>
      <c r="K874" s="10" t="s">
        <v>5378</v>
      </c>
      <c r="L874" s="10" t="s">
        <v>5378</v>
      </c>
      <c r="M874" s="11">
        <v>1994.0</v>
      </c>
      <c r="N874" s="10" t="s">
        <v>5379</v>
      </c>
      <c r="O874" s="10" t="s">
        <v>5379</v>
      </c>
      <c r="P874" s="11">
        <v>6351.0</v>
      </c>
      <c r="Q874" s="11">
        <v>6351.0</v>
      </c>
      <c r="R874" s="11">
        <v>12.0</v>
      </c>
      <c r="S874" s="10"/>
      <c r="T874" s="10"/>
      <c r="U874" s="10"/>
      <c r="V874" s="10"/>
      <c r="W874" s="10"/>
      <c r="X874" s="10"/>
      <c r="Y874" s="10"/>
    </row>
    <row r="875">
      <c r="A875" s="10" t="s">
        <v>5380</v>
      </c>
      <c r="B875" s="11">
        <v>1531031.0</v>
      </c>
      <c r="C875" s="8" t="s">
        <v>762</v>
      </c>
      <c r="D875" s="9" t="s">
        <v>5381</v>
      </c>
      <c r="E875" s="10" t="s">
        <v>5382</v>
      </c>
      <c r="F875" s="11">
        <v>1531031.0</v>
      </c>
      <c r="G875" s="11">
        <v>1531031.0</v>
      </c>
      <c r="H875" s="10" t="s">
        <v>5383</v>
      </c>
      <c r="I875" s="10" t="s">
        <v>5384</v>
      </c>
      <c r="J875" s="10" t="s">
        <v>5385</v>
      </c>
      <c r="K875" s="10" t="s">
        <v>5385</v>
      </c>
      <c r="L875" s="10" t="s">
        <v>5385</v>
      </c>
      <c r="M875" s="11">
        <v>2017.0</v>
      </c>
      <c r="N875" s="10" t="s">
        <v>5386</v>
      </c>
      <c r="O875" s="10" t="s">
        <v>5386</v>
      </c>
      <c r="P875" s="11">
        <v>6029.0</v>
      </c>
      <c r="Q875" s="11">
        <v>6020.0</v>
      </c>
      <c r="R875" s="11">
        <v>14.0</v>
      </c>
      <c r="S875" s="10"/>
      <c r="T875" s="10"/>
      <c r="U875" s="10"/>
      <c r="V875" s="10"/>
      <c r="W875" s="10"/>
      <c r="X875" s="10"/>
      <c r="Y875" s="10"/>
    </row>
    <row r="876">
      <c r="A876" s="10" t="s">
        <v>5387</v>
      </c>
      <c r="B876" s="11">
        <v>1808220.0</v>
      </c>
      <c r="C876" s="10" t="s">
        <v>749</v>
      </c>
      <c r="D876" s="9" t="s">
        <v>5388</v>
      </c>
      <c r="E876" s="10" t="s">
        <v>5389</v>
      </c>
      <c r="F876" s="11">
        <v>1808220.0</v>
      </c>
      <c r="G876" s="11">
        <v>1808220.0</v>
      </c>
      <c r="H876" s="10" t="s">
        <v>5390</v>
      </c>
      <c r="I876" s="10" t="s">
        <v>5391</v>
      </c>
      <c r="J876" s="10" t="s">
        <v>5392</v>
      </c>
      <c r="K876" s="10" t="s">
        <v>5392</v>
      </c>
      <c r="L876" s="10"/>
      <c r="M876" s="11">
        <v>2020.0</v>
      </c>
      <c r="N876" s="10" t="s">
        <v>5393</v>
      </c>
      <c r="O876" s="10" t="s">
        <v>5393</v>
      </c>
      <c r="P876" s="11">
        <v>6411.0</v>
      </c>
      <c r="Q876" s="11">
        <v>6411.0</v>
      </c>
      <c r="R876" s="11">
        <v>21.0</v>
      </c>
      <c r="S876" s="10"/>
      <c r="T876" s="10"/>
      <c r="U876" s="10"/>
      <c r="V876" s="10"/>
      <c r="W876" s="10"/>
      <c r="X876" s="10"/>
      <c r="Y876" s="10"/>
    </row>
    <row r="877">
      <c r="A877" s="10" t="s">
        <v>5394</v>
      </c>
      <c r="B877" s="11">
        <v>1068300.0</v>
      </c>
      <c r="C877" s="8" t="s">
        <v>762</v>
      </c>
      <c r="D877" s="10" t="s">
        <v>5395</v>
      </c>
      <c r="E877" s="10" t="s">
        <v>5396</v>
      </c>
      <c r="F877" s="11">
        <v>1068300.0</v>
      </c>
      <c r="G877" s="10"/>
      <c r="H877" s="10" t="s">
        <v>5397</v>
      </c>
      <c r="I877" s="10" t="s">
        <v>5398</v>
      </c>
      <c r="J877" s="10" t="s">
        <v>5399</v>
      </c>
      <c r="K877" s="10" t="s">
        <v>5400</v>
      </c>
      <c r="L877" s="10" t="s">
        <v>5399</v>
      </c>
      <c r="M877" s="11">
        <v>1998.0</v>
      </c>
      <c r="N877" s="10" t="s">
        <v>954</v>
      </c>
      <c r="O877" s="10" t="s">
        <v>954</v>
      </c>
      <c r="P877" s="11">
        <v>6021.0</v>
      </c>
      <c r="Q877" s="11">
        <v>6020.0</v>
      </c>
      <c r="R877" s="11">
        <v>11.0</v>
      </c>
      <c r="S877" s="10"/>
      <c r="T877" s="10"/>
      <c r="U877" s="10"/>
      <c r="V877" s="10"/>
      <c r="W877" s="10"/>
      <c r="X877" s="10"/>
      <c r="Y877" s="10"/>
    </row>
    <row r="878">
      <c r="A878" s="10" t="s">
        <v>5401</v>
      </c>
      <c r="B878" s="11">
        <v>1326801.0</v>
      </c>
      <c r="C878" s="10" t="s">
        <v>20</v>
      </c>
      <c r="D878" s="9" t="s">
        <v>5402</v>
      </c>
      <c r="E878" s="10" t="s">
        <v>5403</v>
      </c>
      <c r="F878" s="11">
        <v>1326801.0</v>
      </c>
      <c r="G878" s="10"/>
      <c r="H878" s="10" t="s">
        <v>5404</v>
      </c>
      <c r="I878" s="10" t="s">
        <v>5405</v>
      </c>
      <c r="J878" s="10" t="s">
        <v>5406</v>
      </c>
      <c r="K878" s="10" t="s">
        <v>5407</v>
      </c>
      <c r="L878" s="10" t="s">
        <v>5406</v>
      </c>
      <c r="M878" s="11">
        <v>2012.0</v>
      </c>
      <c r="N878" s="10" t="s">
        <v>5408</v>
      </c>
      <c r="O878" s="10" t="s">
        <v>5408</v>
      </c>
      <c r="P878" s="11">
        <v>7375.0</v>
      </c>
      <c r="Q878" s="11">
        <v>7370.0</v>
      </c>
      <c r="R878" s="11">
        <v>38.0</v>
      </c>
      <c r="S878" s="10"/>
      <c r="T878" s="10"/>
      <c r="U878" s="10"/>
      <c r="V878" s="10"/>
      <c r="W878" s="10"/>
      <c r="X878" s="10"/>
      <c r="Y878" s="10"/>
    </row>
    <row r="879">
      <c r="A879" s="10" t="s">
        <v>5409</v>
      </c>
      <c r="B879" s="11">
        <v>1060801.0</v>
      </c>
      <c r="C879" s="10" t="s">
        <v>20</v>
      </c>
      <c r="D879" s="9" t="s">
        <v>5410</v>
      </c>
      <c r="E879" s="10" t="s">
        <v>5411</v>
      </c>
      <c r="F879" s="11">
        <v>1060801.0</v>
      </c>
      <c r="G879" s="10"/>
      <c r="H879" s="10" t="s">
        <v>5412</v>
      </c>
      <c r="I879" s="10" t="s">
        <v>5413</v>
      </c>
      <c r="J879" s="10" t="s">
        <v>5414</v>
      </c>
      <c r="K879" s="10" t="s">
        <v>5415</v>
      </c>
      <c r="L879" s="10" t="s">
        <v>5414</v>
      </c>
      <c r="M879" s="11">
        <v>1999.0</v>
      </c>
      <c r="N879" s="10" t="s">
        <v>5416</v>
      </c>
      <c r="O879" s="10" t="s">
        <v>5416</v>
      </c>
      <c r="P879" s="11">
        <v>7372.0</v>
      </c>
      <c r="Q879" s="11">
        <v>7370.0</v>
      </c>
      <c r="R879" s="11">
        <v>24.0</v>
      </c>
      <c r="S879" s="10"/>
      <c r="T879" s="10"/>
      <c r="U879" s="10"/>
      <c r="V879" s="10"/>
      <c r="W879" s="10"/>
      <c r="X879" s="10"/>
      <c r="Y879" s="10"/>
    </row>
    <row r="880">
      <c r="A880" s="10" t="s">
        <v>5417</v>
      </c>
      <c r="B880" s="11">
        <v>1084827.0</v>
      </c>
      <c r="C880" s="10" t="s">
        <v>20</v>
      </c>
      <c r="D880" s="9" t="s">
        <v>5418</v>
      </c>
      <c r="E880" s="10" t="s">
        <v>5419</v>
      </c>
      <c r="F880" s="11">
        <v>1084827.0</v>
      </c>
      <c r="G880" s="10"/>
      <c r="H880" s="10" t="s">
        <v>5420</v>
      </c>
      <c r="I880" s="10" t="s">
        <v>5421</v>
      </c>
      <c r="J880" s="10" t="s">
        <v>5422</v>
      </c>
      <c r="K880" s="10" t="s">
        <v>5422</v>
      </c>
      <c r="L880" s="10" t="s">
        <v>5422</v>
      </c>
      <c r="M880" s="11">
        <v>1999.0</v>
      </c>
      <c r="N880" s="10" t="s">
        <v>5423</v>
      </c>
      <c r="O880" s="10" t="s">
        <v>5423</v>
      </c>
      <c r="P880" s="11">
        <v>7372.0</v>
      </c>
      <c r="Q880" s="11">
        <v>7372.0</v>
      </c>
      <c r="R880" s="11">
        <v>13.0</v>
      </c>
      <c r="S880" s="10"/>
      <c r="T880" s="10"/>
      <c r="U880" s="10"/>
      <c r="V880" s="10"/>
      <c r="W880" s="10"/>
      <c r="X880" s="10"/>
      <c r="Y880" s="10"/>
    </row>
    <row r="881">
      <c r="A881" s="10" t="s">
        <v>5424</v>
      </c>
      <c r="B881" s="11">
        <v>1068891.0</v>
      </c>
      <c r="C881" s="10" t="s">
        <v>20</v>
      </c>
      <c r="D881" s="9" t="s">
        <v>5425</v>
      </c>
      <c r="E881" s="10" t="s">
        <v>5426</v>
      </c>
      <c r="F881" s="11">
        <v>1068891.0</v>
      </c>
      <c r="G881" s="10"/>
      <c r="H881" s="10" t="s">
        <v>5427</v>
      </c>
      <c r="I881" s="10" t="s">
        <v>5428</v>
      </c>
      <c r="J881" s="10" t="s">
        <v>5429</v>
      </c>
      <c r="K881" s="10" t="s">
        <v>5430</v>
      </c>
      <c r="L881" s="10" t="s">
        <v>5429</v>
      </c>
      <c r="M881" s="11">
        <v>1999.0</v>
      </c>
      <c r="N881" s="10" t="s">
        <v>5431</v>
      </c>
      <c r="O881" s="10" t="s">
        <v>5431</v>
      </c>
      <c r="P881" s="11">
        <v>8734.0</v>
      </c>
      <c r="Q881" s="11">
        <v>8734.0</v>
      </c>
      <c r="R881" s="11">
        <v>6.0</v>
      </c>
      <c r="S881" s="10"/>
      <c r="T881" s="10"/>
      <c r="U881" s="10"/>
      <c r="V881" s="10"/>
      <c r="W881" s="10"/>
      <c r="X881" s="10"/>
      <c r="Y881" s="10"/>
    </row>
    <row r="882">
      <c r="A882" s="10" t="s">
        <v>5432</v>
      </c>
      <c r="B882" s="11">
        <v>818813.0</v>
      </c>
      <c r="C882" s="10" t="s">
        <v>20</v>
      </c>
      <c r="D882" s="10" t="s">
        <v>5433</v>
      </c>
      <c r="E882" s="10"/>
      <c r="F882" s="10"/>
      <c r="G882" s="10"/>
      <c r="H882" s="10" t="s">
        <v>5434</v>
      </c>
      <c r="I882" s="10" t="s">
        <v>5435</v>
      </c>
      <c r="J882" s="10" t="s">
        <v>5436</v>
      </c>
      <c r="K882" s="10"/>
      <c r="L882" s="10" t="s">
        <v>5436</v>
      </c>
      <c r="M882" s="11">
        <v>1996.0</v>
      </c>
      <c r="N882" s="10"/>
      <c r="O882" s="10"/>
      <c r="P882" s="11">
        <v>7372.0</v>
      </c>
      <c r="Q882" s="10"/>
      <c r="R882" s="11">
        <v>6.0</v>
      </c>
      <c r="S882" s="10"/>
      <c r="T882" s="10"/>
      <c r="U882" s="10"/>
      <c r="V882" s="10"/>
      <c r="W882" s="10"/>
      <c r="X882" s="10"/>
      <c r="Y882" s="10"/>
    </row>
    <row r="883">
      <c r="A883" s="10" t="s">
        <v>5437</v>
      </c>
      <c r="B883" s="11">
        <v>1083992.0</v>
      </c>
      <c r="C883" s="10" t="s">
        <v>20</v>
      </c>
      <c r="D883" s="9" t="s">
        <v>5438</v>
      </c>
      <c r="E883" s="10" t="s">
        <v>5439</v>
      </c>
      <c r="F883" s="11">
        <v>1083992.0</v>
      </c>
      <c r="G883" s="10"/>
      <c r="H883" s="10" t="s">
        <v>5440</v>
      </c>
      <c r="I883" s="10" t="s">
        <v>5441</v>
      </c>
      <c r="J883" s="10" t="s">
        <v>5442</v>
      </c>
      <c r="K883" s="10" t="s">
        <v>5443</v>
      </c>
      <c r="L883" s="10" t="s">
        <v>5442</v>
      </c>
      <c r="M883" s="11">
        <v>1999.0</v>
      </c>
      <c r="N883" s="10" t="s">
        <v>5444</v>
      </c>
      <c r="O883" s="10" t="s">
        <v>5444</v>
      </c>
      <c r="P883" s="11">
        <v>7389.0</v>
      </c>
      <c r="Q883" s="11">
        <v>7310.0</v>
      </c>
      <c r="R883" s="11">
        <v>10.0</v>
      </c>
      <c r="S883" s="10"/>
      <c r="T883" s="10"/>
      <c r="U883" s="10"/>
      <c r="V883" s="10"/>
      <c r="W883" s="10"/>
      <c r="X883" s="10"/>
      <c r="Y883" s="10"/>
    </row>
    <row r="884">
      <c r="A884" s="10" t="s">
        <v>5445</v>
      </c>
      <c r="B884" s="11">
        <v>1002225.0</v>
      </c>
      <c r="C884" s="10" t="s">
        <v>749</v>
      </c>
      <c r="D884" s="9" t="s">
        <v>5446</v>
      </c>
      <c r="E884" s="10"/>
      <c r="F884" s="10"/>
      <c r="G884" s="10"/>
      <c r="H884" s="10" t="s">
        <v>5447</v>
      </c>
      <c r="I884" s="10" t="s">
        <v>5448</v>
      </c>
      <c r="J884" s="10" t="s">
        <v>5449</v>
      </c>
      <c r="K884" s="10"/>
      <c r="L884" s="10" t="s">
        <v>5449</v>
      </c>
      <c r="M884" s="11">
        <v>1995.0</v>
      </c>
      <c r="N884" s="10"/>
      <c r="O884" s="10"/>
      <c r="P884" s="11">
        <v>7372.0</v>
      </c>
      <c r="Q884" s="10"/>
      <c r="R884" s="11">
        <v>18.0</v>
      </c>
      <c r="S884" s="10"/>
      <c r="T884" s="10"/>
      <c r="U884" s="10"/>
      <c r="V884" s="10"/>
      <c r="W884" s="10"/>
      <c r="X884" s="10"/>
      <c r="Y884" s="10"/>
    </row>
    <row r="885">
      <c r="A885" s="10" t="s">
        <v>5450</v>
      </c>
      <c r="B885" s="11">
        <v>1563190.0</v>
      </c>
      <c r="C885" s="10" t="s">
        <v>20</v>
      </c>
      <c r="D885" s="9" t="s">
        <v>5451</v>
      </c>
      <c r="E885" s="10" t="s">
        <v>5452</v>
      </c>
      <c r="F885" s="11">
        <v>1563190.0</v>
      </c>
      <c r="G885" s="11">
        <v>1563190.0</v>
      </c>
      <c r="H885" s="10" t="s">
        <v>5453</v>
      </c>
      <c r="I885" s="10" t="s">
        <v>5454</v>
      </c>
      <c r="J885" s="10" t="s">
        <v>5455</v>
      </c>
      <c r="K885" s="10" t="s">
        <v>5455</v>
      </c>
      <c r="L885" s="10" t="s">
        <v>5455</v>
      </c>
      <c r="M885" s="11">
        <v>2021.0</v>
      </c>
      <c r="N885" s="10" t="s">
        <v>5456</v>
      </c>
      <c r="O885" s="10" t="s">
        <v>5456</v>
      </c>
      <c r="P885" s="11">
        <v>7372.0</v>
      </c>
      <c r="Q885" s="11">
        <v>6531.0</v>
      </c>
      <c r="R885" s="11">
        <v>18.0</v>
      </c>
      <c r="S885" s="10"/>
      <c r="T885" s="10"/>
      <c r="U885" s="10"/>
      <c r="V885" s="10"/>
      <c r="W885" s="10"/>
      <c r="X885" s="10"/>
      <c r="Y885" s="10"/>
    </row>
    <row r="886">
      <c r="A886" s="10" t="s">
        <v>5457</v>
      </c>
      <c r="B886" s="11">
        <v>1207074.0</v>
      </c>
      <c r="C886" s="10" t="s">
        <v>20</v>
      </c>
      <c r="D886" s="9" t="s">
        <v>5458</v>
      </c>
      <c r="E886" s="10" t="s">
        <v>5459</v>
      </c>
      <c r="F886" s="11">
        <v>1207074.0</v>
      </c>
      <c r="G886" s="10"/>
      <c r="H886" s="10" t="s">
        <v>5460</v>
      </c>
      <c r="I886" s="10" t="s">
        <v>5461</v>
      </c>
      <c r="J886" s="10" t="s">
        <v>5462</v>
      </c>
      <c r="K886" s="10" t="s">
        <v>5462</v>
      </c>
      <c r="L886" s="10" t="s">
        <v>5462</v>
      </c>
      <c r="M886" s="11">
        <v>2007.0</v>
      </c>
      <c r="N886" s="10" t="s">
        <v>5463</v>
      </c>
      <c r="O886" s="10" t="s">
        <v>5463</v>
      </c>
      <c r="P886" s="11">
        <v>7371.0</v>
      </c>
      <c r="Q886" s="11">
        <v>7370.0</v>
      </c>
      <c r="R886" s="11">
        <v>14.0</v>
      </c>
      <c r="S886" s="10"/>
      <c r="T886" s="10"/>
      <c r="U886" s="10"/>
      <c r="V886" s="10"/>
      <c r="W886" s="10"/>
      <c r="X886" s="10"/>
      <c r="Y886" s="10"/>
    </row>
    <row r="887">
      <c r="A887" s="10" t="s">
        <v>5464</v>
      </c>
      <c r="B887" s="11">
        <v>909624.0</v>
      </c>
      <c r="C887" s="10" t="s">
        <v>20</v>
      </c>
      <c r="D887" s="9" t="s">
        <v>5465</v>
      </c>
      <c r="E887" s="10" t="s">
        <v>5466</v>
      </c>
      <c r="F887" s="11">
        <v>909624.0</v>
      </c>
      <c r="G887" s="10"/>
      <c r="H887" s="10" t="s">
        <v>5467</v>
      </c>
      <c r="I887" s="10" t="s">
        <v>5468</v>
      </c>
      <c r="J887" s="10" t="s">
        <v>5469</v>
      </c>
      <c r="K887" s="10" t="s">
        <v>5470</v>
      </c>
      <c r="L887" s="10" t="s">
        <v>5469</v>
      </c>
      <c r="M887" s="11">
        <v>1994.0</v>
      </c>
      <c r="N887" s="10"/>
      <c r="O887" s="10"/>
      <c r="P887" s="11">
        <v>7375.0</v>
      </c>
      <c r="Q887" s="11">
        <v>7370.0</v>
      </c>
      <c r="R887" s="11">
        <v>13.0</v>
      </c>
      <c r="S887" s="10"/>
      <c r="T887" s="10"/>
      <c r="U887" s="10"/>
      <c r="V887" s="10"/>
      <c r="W887" s="10"/>
      <c r="X887" s="10"/>
      <c r="Y887" s="10"/>
    </row>
    <row r="888">
      <c r="A888" s="10" t="s">
        <v>5471</v>
      </c>
      <c r="B888" s="11">
        <v>1324245.0</v>
      </c>
      <c r="C888" s="10" t="s">
        <v>749</v>
      </c>
      <c r="D888" s="26" t="s">
        <v>5472</v>
      </c>
      <c r="E888" s="10" t="s">
        <v>5473</v>
      </c>
      <c r="F888" s="11">
        <v>1324245.0</v>
      </c>
      <c r="G888" s="10"/>
      <c r="H888" s="10" t="s">
        <v>5474</v>
      </c>
      <c r="I888" s="10" t="s">
        <v>5475</v>
      </c>
      <c r="J888" s="10"/>
      <c r="K888" s="10" t="s">
        <v>5476</v>
      </c>
      <c r="L888" s="10"/>
      <c r="M888" s="11">
        <v>2007.0</v>
      </c>
      <c r="N888" s="10" t="s">
        <v>5477</v>
      </c>
      <c r="O888" s="10" t="s">
        <v>5477</v>
      </c>
      <c r="P888" s="11">
        <v>7371.0</v>
      </c>
      <c r="Q888" s="11">
        <v>7372.0</v>
      </c>
      <c r="R888" s="11">
        <v>16.0</v>
      </c>
      <c r="S888" s="10"/>
      <c r="T888" s="10"/>
      <c r="U888" s="10"/>
      <c r="V888" s="10"/>
      <c r="W888" s="10"/>
      <c r="X888" s="10"/>
      <c r="Y888" s="10"/>
    </row>
    <row r="889">
      <c r="A889" s="10" t="s">
        <v>5478</v>
      </c>
      <c r="B889" s="11">
        <v>873538.0</v>
      </c>
      <c r="C889" s="10" t="s">
        <v>749</v>
      </c>
      <c r="D889" s="9" t="s">
        <v>5479</v>
      </c>
      <c r="E889" s="10" t="s">
        <v>5480</v>
      </c>
      <c r="F889" s="11">
        <v>873538.0</v>
      </c>
      <c r="G889" s="11">
        <v>1801169.0</v>
      </c>
      <c r="H889" s="10" t="s">
        <v>5481</v>
      </c>
      <c r="I889" s="10" t="s">
        <v>5482</v>
      </c>
      <c r="J889" s="10" t="s">
        <v>4150</v>
      </c>
      <c r="K889" s="10" t="s">
        <v>5483</v>
      </c>
      <c r="L889" s="10" t="s">
        <v>4150</v>
      </c>
      <c r="M889" s="11">
        <v>2003.0</v>
      </c>
      <c r="N889" s="10" t="s">
        <v>5484</v>
      </c>
      <c r="O889" s="10" t="s">
        <v>5484</v>
      </c>
      <c r="P889" s="11">
        <v>7373.0</v>
      </c>
      <c r="Q889" s="11">
        <v>7372.0</v>
      </c>
      <c r="R889" s="11">
        <v>17.0</v>
      </c>
      <c r="S889" s="10"/>
      <c r="T889" s="10"/>
      <c r="U889" s="10"/>
      <c r="V889" s="10"/>
      <c r="W889" s="10"/>
      <c r="X889" s="10"/>
      <c r="Y889" s="10"/>
    </row>
    <row r="890">
      <c r="A890" s="10" t="s">
        <v>5485</v>
      </c>
      <c r="B890" s="11">
        <v>1512762.0</v>
      </c>
      <c r="C890" s="10" t="s">
        <v>20</v>
      </c>
      <c r="D890" s="9" t="s">
        <v>5486</v>
      </c>
      <c r="E890" s="10" t="s">
        <v>5487</v>
      </c>
      <c r="F890" s="11">
        <v>1512762.0</v>
      </c>
      <c r="G890" s="11">
        <v>1512762.0</v>
      </c>
      <c r="H890" s="10" t="s">
        <v>5488</v>
      </c>
      <c r="I890" s="10" t="s">
        <v>5489</v>
      </c>
      <c r="J890" s="10" t="s">
        <v>5490</v>
      </c>
      <c r="K890" s="10" t="s">
        <v>5490</v>
      </c>
      <c r="L890" s="10" t="s">
        <v>5490</v>
      </c>
      <c r="M890" s="11">
        <v>2014.0</v>
      </c>
      <c r="N890" s="10" t="s">
        <v>5491</v>
      </c>
      <c r="O890" s="10" t="s">
        <v>5491</v>
      </c>
      <c r="P890" s="11">
        <v>8731.0</v>
      </c>
      <c r="Q890" s="11">
        <v>2836.0</v>
      </c>
      <c r="R890" s="11">
        <v>13.5</v>
      </c>
      <c r="S890" s="10"/>
      <c r="T890" s="10"/>
      <c r="U890" s="10"/>
      <c r="V890" s="10"/>
      <c r="W890" s="10"/>
      <c r="X890" s="10"/>
      <c r="Y890" s="10"/>
    </row>
    <row r="891">
      <c r="A891" s="10" t="s">
        <v>5492</v>
      </c>
      <c r="B891" s="11">
        <v>905401.0</v>
      </c>
      <c r="C891" s="10" t="s">
        <v>20</v>
      </c>
      <c r="D891" s="9" t="s">
        <v>5493</v>
      </c>
      <c r="E891" s="10" t="s">
        <v>5494</v>
      </c>
      <c r="F891" s="11">
        <v>905401.0</v>
      </c>
      <c r="G891" s="11">
        <v>1088856.0</v>
      </c>
      <c r="H891" s="10" t="s">
        <v>5495</v>
      </c>
      <c r="I891" s="10" t="s">
        <v>5496</v>
      </c>
      <c r="J891" s="10" t="s">
        <v>5497</v>
      </c>
      <c r="K891" s="10" t="s">
        <v>5498</v>
      </c>
      <c r="L891" s="10" t="s">
        <v>5497</v>
      </c>
      <c r="M891" s="11">
        <v>1995.0</v>
      </c>
      <c r="N891" s="10" t="s">
        <v>5499</v>
      </c>
      <c r="O891" s="10" t="s">
        <v>5499</v>
      </c>
      <c r="P891" s="11">
        <v>7359.0</v>
      </c>
      <c r="Q891" s="11">
        <v>7359.0</v>
      </c>
      <c r="R891" s="11">
        <v>12.0</v>
      </c>
      <c r="S891" s="10"/>
      <c r="T891" s="10"/>
      <c r="U891" s="10"/>
      <c r="V891" s="10"/>
      <c r="W891" s="10"/>
      <c r="X891" s="10"/>
      <c r="Y891" s="10"/>
    </row>
    <row r="892">
      <c r="A892" s="10" t="s">
        <v>5500</v>
      </c>
      <c r="B892" s="11">
        <v>900096.0</v>
      </c>
      <c r="C892" s="10" t="s">
        <v>20</v>
      </c>
      <c r="D892" s="9" t="s">
        <v>5501</v>
      </c>
      <c r="E892" s="10"/>
      <c r="F892" s="10"/>
      <c r="G892" s="10"/>
      <c r="H892" s="10" t="s">
        <v>5502</v>
      </c>
      <c r="I892" s="10" t="s">
        <v>5503</v>
      </c>
      <c r="J892" s="10" t="s">
        <v>5504</v>
      </c>
      <c r="K892" s="10"/>
      <c r="L892" s="10" t="s">
        <v>5504</v>
      </c>
      <c r="M892" s="11">
        <v>1995.0</v>
      </c>
      <c r="N892" s="10"/>
      <c r="O892" s="10"/>
      <c r="P892" s="11">
        <v>7371.0</v>
      </c>
      <c r="Q892" s="10"/>
      <c r="R892" s="11">
        <v>11.0</v>
      </c>
      <c r="S892" s="10"/>
      <c r="T892" s="10"/>
      <c r="U892" s="10"/>
      <c r="V892" s="10"/>
      <c r="W892" s="10"/>
      <c r="X892" s="10"/>
      <c r="Y892" s="10"/>
    </row>
    <row r="893">
      <c r="A893" s="10" t="s">
        <v>5505</v>
      </c>
      <c r="B893" s="11">
        <v>1092536.0</v>
      </c>
      <c r="C893" s="10" t="s">
        <v>20</v>
      </c>
      <c r="D893" s="9" t="s">
        <v>5506</v>
      </c>
      <c r="E893" s="10" t="s">
        <v>5507</v>
      </c>
      <c r="F893" s="11">
        <v>1092536.0</v>
      </c>
      <c r="G893" s="10"/>
      <c r="H893" s="10" t="s">
        <v>5508</v>
      </c>
      <c r="I893" s="10" t="s">
        <v>5509</v>
      </c>
      <c r="J893" s="10" t="s">
        <v>5510</v>
      </c>
      <c r="K893" s="10" t="s">
        <v>5511</v>
      </c>
      <c r="L893" s="10" t="s">
        <v>5510</v>
      </c>
      <c r="M893" s="11">
        <v>2000.0</v>
      </c>
      <c r="N893" s="10" t="s">
        <v>5512</v>
      </c>
      <c r="O893" s="10" t="s">
        <v>5512</v>
      </c>
      <c r="P893" s="11">
        <v>7375.0</v>
      </c>
      <c r="Q893" s="11">
        <v>7370.0</v>
      </c>
      <c r="R893" s="11">
        <v>12.0</v>
      </c>
      <c r="S893" s="10"/>
      <c r="T893" s="10"/>
      <c r="U893" s="10"/>
      <c r="V893" s="10"/>
      <c r="W893" s="10"/>
      <c r="X893" s="10"/>
      <c r="Y893" s="10"/>
    </row>
    <row r="894">
      <c r="A894" s="10" t="s">
        <v>5513</v>
      </c>
      <c r="B894" s="11">
        <v>1123541.0</v>
      </c>
      <c r="C894" s="10" t="s">
        <v>20</v>
      </c>
      <c r="D894" s="9" t="s">
        <v>5514</v>
      </c>
      <c r="E894" s="10" t="s">
        <v>5515</v>
      </c>
      <c r="F894" s="11">
        <v>1123541.0</v>
      </c>
      <c r="G894" s="10"/>
      <c r="H894" s="10" t="s">
        <v>5516</v>
      </c>
      <c r="I894" s="10" t="s">
        <v>5517</v>
      </c>
      <c r="J894" s="10" t="s">
        <v>5518</v>
      </c>
      <c r="K894" s="10" t="s">
        <v>5519</v>
      </c>
      <c r="L894" s="10" t="s">
        <v>5518</v>
      </c>
      <c r="M894" s="11">
        <v>2006.0</v>
      </c>
      <c r="N894" s="10" t="s">
        <v>5520</v>
      </c>
      <c r="O894" s="10" t="s">
        <v>5520</v>
      </c>
      <c r="P894" s="11">
        <v>6211.0</v>
      </c>
      <c r="Q894" s="11">
        <v>6200.0</v>
      </c>
      <c r="R894" s="11">
        <v>17.0</v>
      </c>
      <c r="S894" s="10"/>
      <c r="T894" s="10"/>
      <c r="U894" s="10"/>
      <c r="V894" s="10"/>
      <c r="W894" s="10"/>
      <c r="X894" s="10"/>
      <c r="Y894" s="10"/>
    </row>
    <row r="895">
      <c r="A895" s="10" t="s">
        <v>5521</v>
      </c>
      <c r="B895" s="11">
        <v>1051490.0</v>
      </c>
      <c r="C895" s="10" t="s">
        <v>20</v>
      </c>
      <c r="D895" s="9" t="s">
        <v>5522</v>
      </c>
      <c r="E895" s="10" t="s">
        <v>5523</v>
      </c>
      <c r="F895" s="11">
        <v>1051490.0</v>
      </c>
      <c r="G895" s="10"/>
      <c r="H895" s="10" t="s">
        <v>5524</v>
      </c>
      <c r="I895" s="10" t="s">
        <v>5525</v>
      </c>
      <c r="J895" s="10" t="s">
        <v>5526</v>
      </c>
      <c r="K895" s="10" t="s">
        <v>5526</v>
      </c>
      <c r="L895" s="10" t="s">
        <v>5526</v>
      </c>
      <c r="M895" s="11">
        <v>1998.0</v>
      </c>
      <c r="N895" s="10" t="s">
        <v>3715</v>
      </c>
      <c r="O895" s="10" t="s">
        <v>3715</v>
      </c>
      <c r="P895" s="11">
        <v>7372.0</v>
      </c>
      <c r="Q895" s="11">
        <v>7372.0</v>
      </c>
      <c r="R895" s="11">
        <v>8.0</v>
      </c>
      <c r="S895" s="10"/>
      <c r="T895" s="10"/>
      <c r="U895" s="10"/>
      <c r="V895" s="10"/>
      <c r="W895" s="10"/>
      <c r="X895" s="10"/>
      <c r="Y895" s="10"/>
    </row>
    <row r="896">
      <c r="A896" s="10" t="s">
        <v>5527</v>
      </c>
      <c r="B896" s="11">
        <v>1443646.0</v>
      </c>
      <c r="C896" s="10" t="s">
        <v>20</v>
      </c>
      <c r="D896" s="9" t="s">
        <v>5528</v>
      </c>
      <c r="E896" s="10"/>
      <c r="F896" s="10"/>
      <c r="G896" s="11">
        <v>1443646.0</v>
      </c>
      <c r="H896" s="10" t="s">
        <v>5529</v>
      </c>
      <c r="I896" s="10" t="s">
        <v>5530</v>
      </c>
      <c r="J896" s="10" t="s">
        <v>5531</v>
      </c>
      <c r="K896" s="10"/>
      <c r="L896" s="10"/>
      <c r="M896" s="11">
        <v>2010.0</v>
      </c>
      <c r="N896" s="10"/>
      <c r="O896" s="10"/>
      <c r="P896" s="11">
        <v>8742.0</v>
      </c>
      <c r="Q896" s="10"/>
      <c r="R896" s="11">
        <v>17.0</v>
      </c>
      <c r="S896" s="10"/>
      <c r="T896" s="10"/>
      <c r="U896" s="10"/>
      <c r="V896" s="10"/>
      <c r="W896" s="10"/>
      <c r="X896" s="10"/>
      <c r="Y896" s="10"/>
    </row>
    <row r="897">
      <c r="A897" s="10" t="s">
        <v>5532</v>
      </c>
      <c r="B897" s="11">
        <v>854418.0</v>
      </c>
      <c r="C897" s="10" t="s">
        <v>20</v>
      </c>
      <c r="D897" s="9" t="s">
        <v>5533</v>
      </c>
      <c r="E897" s="10" t="s">
        <v>5534</v>
      </c>
      <c r="F897" s="11">
        <v>854418.0</v>
      </c>
      <c r="G897" s="10"/>
      <c r="H897" s="10" t="s">
        <v>5535</v>
      </c>
      <c r="I897" s="10" t="s">
        <v>5536</v>
      </c>
      <c r="J897" s="10" t="s">
        <v>5537</v>
      </c>
      <c r="K897" s="10" t="s">
        <v>5537</v>
      </c>
      <c r="L897" s="10" t="s">
        <v>5537</v>
      </c>
      <c r="M897" s="11">
        <v>1997.0</v>
      </c>
      <c r="N897" s="10" t="s">
        <v>5538</v>
      </c>
      <c r="O897" s="10" t="s">
        <v>5538</v>
      </c>
      <c r="P897" s="11">
        <v>7372.0</v>
      </c>
      <c r="Q897" s="11">
        <v>7372.0</v>
      </c>
      <c r="R897" s="11">
        <v>7.0</v>
      </c>
      <c r="S897" s="10"/>
      <c r="T897" s="10"/>
      <c r="U897" s="10"/>
      <c r="V897" s="10"/>
      <c r="W897" s="10"/>
      <c r="X897" s="10"/>
      <c r="Y897" s="10"/>
    </row>
    <row r="898">
      <c r="A898" s="10" t="s">
        <v>5539</v>
      </c>
      <c r="B898" s="11">
        <v>920106.0</v>
      </c>
      <c r="C898" s="8" t="s">
        <v>762</v>
      </c>
      <c r="D898" s="9" t="s">
        <v>5540</v>
      </c>
      <c r="E898" s="10" t="s">
        <v>5541</v>
      </c>
      <c r="F898" s="11">
        <v>920106.0</v>
      </c>
      <c r="G898" s="10"/>
      <c r="H898" s="10" t="s">
        <v>5542</v>
      </c>
      <c r="I898" s="10" t="s">
        <v>5543</v>
      </c>
      <c r="J898" s="10" t="s">
        <v>5544</v>
      </c>
      <c r="K898" s="10" t="s">
        <v>5545</v>
      </c>
      <c r="L898" s="10" t="s">
        <v>5544</v>
      </c>
      <c r="M898" s="11">
        <v>1994.0</v>
      </c>
      <c r="N898" s="10" t="s">
        <v>5546</v>
      </c>
      <c r="O898" s="10" t="s">
        <v>5546</v>
      </c>
      <c r="P898" s="11">
        <v>6099.0</v>
      </c>
      <c r="Q898" s="11">
        <v>6099.0</v>
      </c>
      <c r="R898" s="11">
        <v>5.0</v>
      </c>
      <c r="S898" s="10"/>
      <c r="T898" s="10"/>
      <c r="U898" s="10"/>
      <c r="V898" s="10"/>
      <c r="W898" s="10"/>
      <c r="X898" s="10"/>
      <c r="Y898" s="10"/>
    </row>
    <row r="899">
      <c r="A899" s="10" t="s">
        <v>5547</v>
      </c>
      <c r="B899" s="11">
        <v>1000860.0</v>
      </c>
      <c r="C899" s="10" t="s">
        <v>20</v>
      </c>
      <c r="D899" s="9" t="s">
        <v>5548</v>
      </c>
      <c r="E899" s="10" t="s">
        <v>5549</v>
      </c>
      <c r="F899" s="11">
        <v>1000860.0</v>
      </c>
      <c r="G899" s="10"/>
      <c r="H899" s="10" t="s">
        <v>5550</v>
      </c>
      <c r="I899" s="10" t="s">
        <v>5551</v>
      </c>
      <c r="J899" s="10" t="s">
        <v>5552</v>
      </c>
      <c r="K899" s="10" t="s">
        <v>5552</v>
      </c>
      <c r="L899" s="10" t="s">
        <v>5552</v>
      </c>
      <c r="M899" s="11">
        <v>1995.0</v>
      </c>
      <c r="N899" s="10" t="s">
        <v>5553</v>
      </c>
      <c r="O899" s="10" t="s">
        <v>5553</v>
      </c>
      <c r="P899" s="11">
        <v>7373.0</v>
      </c>
      <c r="Q899" s="11">
        <v>7373.0</v>
      </c>
      <c r="R899" s="11">
        <v>13.0</v>
      </c>
      <c r="S899" s="10"/>
      <c r="T899" s="10"/>
      <c r="U899" s="10"/>
      <c r="V899" s="10"/>
      <c r="W899" s="10"/>
      <c r="X899" s="10"/>
      <c r="Y899" s="10"/>
    </row>
    <row r="900">
      <c r="A900" s="10" t="s">
        <v>5554</v>
      </c>
      <c r="B900" s="11">
        <v>1078271.0</v>
      </c>
      <c r="C900" s="10" t="s">
        <v>20</v>
      </c>
      <c r="D900" s="9" t="s">
        <v>5555</v>
      </c>
      <c r="E900" s="10" t="s">
        <v>5556</v>
      </c>
      <c r="F900" s="11">
        <v>1078271.0</v>
      </c>
      <c r="G900" s="11">
        <v>1078271.0</v>
      </c>
      <c r="H900" s="10" t="s">
        <v>5557</v>
      </c>
      <c r="I900" s="10" t="s">
        <v>5558</v>
      </c>
      <c r="J900" s="10" t="s">
        <v>5559</v>
      </c>
      <c r="K900" s="10" t="s">
        <v>5559</v>
      </c>
      <c r="L900" s="10" t="s">
        <v>5559</v>
      </c>
      <c r="M900" s="11">
        <v>1999.0</v>
      </c>
      <c r="N900" s="10" t="s">
        <v>5560</v>
      </c>
      <c r="O900" s="10" t="s">
        <v>5560</v>
      </c>
      <c r="P900" s="11">
        <v>7372.0</v>
      </c>
      <c r="Q900" s="11">
        <v>3576.0</v>
      </c>
      <c r="R900" s="11">
        <v>17.0</v>
      </c>
      <c r="S900" s="10"/>
      <c r="T900" s="10"/>
      <c r="U900" s="10"/>
      <c r="V900" s="10"/>
      <c r="W900" s="10"/>
      <c r="X900" s="10"/>
      <c r="Y900" s="10"/>
    </row>
    <row r="901">
      <c r="A901" s="10" t="s">
        <v>5561</v>
      </c>
      <c r="B901" s="11">
        <v>1487101.0</v>
      </c>
      <c r="C901" s="10" t="s">
        <v>20</v>
      </c>
      <c r="D901" s="9" t="s">
        <v>5562</v>
      </c>
      <c r="E901" s="10" t="s">
        <v>5563</v>
      </c>
      <c r="F901" s="11">
        <v>1487101.0</v>
      </c>
      <c r="G901" s="10"/>
      <c r="H901" s="10" t="s">
        <v>5564</v>
      </c>
      <c r="I901" s="10" t="s">
        <v>5565</v>
      </c>
      <c r="J901" s="10" t="s">
        <v>5566</v>
      </c>
      <c r="K901" s="10" t="s">
        <v>5566</v>
      </c>
      <c r="L901" s="10" t="s">
        <v>5566</v>
      </c>
      <c r="M901" s="11">
        <v>2010.0</v>
      </c>
      <c r="N901" s="10" t="s">
        <v>5567</v>
      </c>
      <c r="O901" s="10" t="s">
        <v>5567</v>
      </c>
      <c r="P901" s="11">
        <v>8711.0</v>
      </c>
      <c r="Q901" s="11">
        <v>7370.0</v>
      </c>
      <c r="R901" s="11">
        <v>10.0</v>
      </c>
      <c r="S901" s="10"/>
      <c r="T901" s="10"/>
      <c r="U901" s="10"/>
      <c r="V901" s="10"/>
      <c r="W901" s="10"/>
      <c r="X901" s="10"/>
      <c r="Y901" s="10"/>
    </row>
    <row r="902">
      <c r="A902" s="10" t="s">
        <v>5568</v>
      </c>
      <c r="B902" s="11">
        <v>1275168.0</v>
      </c>
      <c r="C902" s="8" t="s">
        <v>762</v>
      </c>
      <c r="D902" s="9" t="s">
        <v>5569</v>
      </c>
      <c r="E902" s="10" t="s">
        <v>5570</v>
      </c>
      <c r="F902" s="11">
        <v>1275168.0</v>
      </c>
      <c r="G902" s="11">
        <v>1275168.0</v>
      </c>
      <c r="H902" s="10" t="s">
        <v>5571</v>
      </c>
      <c r="I902" s="10" t="s">
        <v>5572</v>
      </c>
      <c r="J902" s="10" t="s">
        <v>5573</v>
      </c>
      <c r="K902" s="10" t="s">
        <v>5573</v>
      </c>
      <c r="L902" s="10" t="s">
        <v>5573</v>
      </c>
      <c r="M902" s="11">
        <v>2021.0</v>
      </c>
      <c r="N902" s="10" t="s">
        <v>5574</v>
      </c>
      <c r="O902" s="10" t="s">
        <v>5574</v>
      </c>
      <c r="P902" s="11">
        <v>6021.0</v>
      </c>
      <c r="Q902" s="11">
        <v>6020.0</v>
      </c>
      <c r="R902" s="11">
        <v>20.0</v>
      </c>
      <c r="S902" s="10"/>
      <c r="T902" s="10"/>
      <c r="U902" s="10"/>
      <c r="V902" s="10"/>
      <c r="W902" s="10"/>
      <c r="X902" s="10"/>
      <c r="Y902" s="10"/>
    </row>
    <row r="903">
      <c r="A903" s="10" t="s">
        <v>5575</v>
      </c>
      <c r="B903" s="11">
        <v>1065857.0</v>
      </c>
      <c r="C903" s="10" t="s">
        <v>20</v>
      </c>
      <c r="D903" s="9" t="s">
        <v>5576</v>
      </c>
      <c r="E903" s="10" t="s">
        <v>5577</v>
      </c>
      <c r="F903" s="11">
        <v>1065857.0</v>
      </c>
      <c r="G903" s="10"/>
      <c r="H903" s="10" t="s">
        <v>5578</v>
      </c>
      <c r="I903" s="10" t="s">
        <v>5579</v>
      </c>
      <c r="J903" s="10" t="s">
        <v>5580</v>
      </c>
      <c r="K903" s="10" t="s">
        <v>5581</v>
      </c>
      <c r="L903" s="10" t="s">
        <v>5580</v>
      </c>
      <c r="M903" s="11">
        <v>1998.0</v>
      </c>
      <c r="N903" s="10" t="s">
        <v>5582</v>
      </c>
      <c r="O903" s="10" t="s">
        <v>5582</v>
      </c>
      <c r="P903" s="11">
        <v>7373.0</v>
      </c>
      <c r="Q903" s="11">
        <v>7372.0</v>
      </c>
      <c r="R903" s="11">
        <v>11.0</v>
      </c>
      <c r="S903" s="10"/>
      <c r="T903" s="10"/>
      <c r="U903" s="10"/>
      <c r="V903" s="10"/>
      <c r="W903" s="10"/>
      <c r="X903" s="10"/>
      <c r="Y903" s="10"/>
    </row>
    <row r="904">
      <c r="A904" s="10" t="s">
        <v>5583</v>
      </c>
      <c r="B904" s="11">
        <v>1029688.0</v>
      </c>
      <c r="C904" s="10" t="s">
        <v>20</v>
      </c>
      <c r="D904" s="9" t="s">
        <v>5584</v>
      </c>
      <c r="E904" s="10" t="s">
        <v>5585</v>
      </c>
      <c r="F904" s="11">
        <v>1029688.0</v>
      </c>
      <c r="G904" s="10"/>
      <c r="H904" s="10" t="s">
        <v>5586</v>
      </c>
      <c r="I904" s="10" t="s">
        <v>5587</v>
      </c>
      <c r="J904" s="10" t="s">
        <v>5588</v>
      </c>
      <c r="K904" s="10" t="s">
        <v>5588</v>
      </c>
      <c r="L904" s="10" t="s">
        <v>5588</v>
      </c>
      <c r="M904" s="11">
        <v>1997.0</v>
      </c>
      <c r="N904" s="10" t="s">
        <v>5589</v>
      </c>
      <c r="O904" s="10" t="s">
        <v>5589</v>
      </c>
      <c r="P904" s="11">
        <v>6799.0</v>
      </c>
      <c r="Q904" s="11">
        <v>7359.0</v>
      </c>
      <c r="R904" s="11">
        <v>10.0</v>
      </c>
      <c r="S904" s="10"/>
      <c r="T904" s="10"/>
      <c r="U904" s="10"/>
      <c r="V904" s="10"/>
      <c r="W904" s="10"/>
      <c r="X904" s="10"/>
      <c r="Y904" s="10"/>
    </row>
    <row r="905">
      <c r="A905" s="10" t="s">
        <v>5590</v>
      </c>
      <c r="B905" s="11">
        <v>1787400.0</v>
      </c>
      <c r="C905" s="10" t="s">
        <v>20</v>
      </c>
      <c r="D905" s="9" t="s">
        <v>5591</v>
      </c>
      <c r="E905" s="10" t="s">
        <v>5592</v>
      </c>
      <c r="F905" s="11">
        <v>1787400.0</v>
      </c>
      <c r="G905" s="11">
        <v>1787400.0</v>
      </c>
      <c r="H905" s="10" t="s">
        <v>5593</v>
      </c>
      <c r="I905" s="10" t="s">
        <v>5594</v>
      </c>
      <c r="J905" s="10" t="s">
        <v>5595</v>
      </c>
      <c r="K905" s="10" t="s">
        <v>5595</v>
      </c>
      <c r="L905" s="10" t="s">
        <v>5595</v>
      </c>
      <c r="M905" s="11">
        <v>2020.0</v>
      </c>
      <c r="N905" s="10" t="s">
        <v>5596</v>
      </c>
      <c r="O905" s="10" t="s">
        <v>5596</v>
      </c>
      <c r="P905" s="11">
        <v>8731.0</v>
      </c>
      <c r="Q905" s="11">
        <v>2836.0</v>
      </c>
      <c r="R905" s="11">
        <v>18.0</v>
      </c>
      <c r="S905" s="10"/>
      <c r="T905" s="10"/>
      <c r="U905" s="10"/>
      <c r="V905" s="10"/>
      <c r="W905" s="10"/>
      <c r="X905" s="10"/>
      <c r="Y905" s="10"/>
    </row>
    <row r="906">
      <c r="A906" s="10" t="s">
        <v>5597</v>
      </c>
      <c r="B906" s="11">
        <v>1056294.0</v>
      </c>
      <c r="C906" s="10" t="s">
        <v>20</v>
      </c>
      <c r="D906" s="9" t="s">
        <v>5598</v>
      </c>
      <c r="E906" s="10" t="s">
        <v>5599</v>
      </c>
      <c r="F906" s="11">
        <v>1056294.0</v>
      </c>
      <c r="G906" s="10"/>
      <c r="H906" s="10" t="s">
        <v>5600</v>
      </c>
      <c r="I906" s="10" t="s">
        <v>5601</v>
      </c>
      <c r="J906" s="10" t="s">
        <v>5602</v>
      </c>
      <c r="K906" s="10" t="s">
        <v>5602</v>
      </c>
      <c r="L906" s="10" t="s">
        <v>5602</v>
      </c>
      <c r="M906" s="11">
        <v>1998.0</v>
      </c>
      <c r="N906" s="10" t="s">
        <v>5603</v>
      </c>
      <c r="O906" s="10" t="s">
        <v>5603</v>
      </c>
      <c r="P906" s="11">
        <v>7372.0</v>
      </c>
      <c r="Q906" s="11">
        <v>7372.0</v>
      </c>
      <c r="R906" s="11">
        <v>11.0</v>
      </c>
      <c r="S906" s="10"/>
      <c r="T906" s="10"/>
      <c r="U906" s="10"/>
      <c r="V906" s="10"/>
      <c r="W906" s="10"/>
      <c r="X906" s="10"/>
      <c r="Y906" s="10"/>
    </row>
    <row r="907">
      <c r="A907" s="10" t="s">
        <v>5604</v>
      </c>
      <c r="B907" s="11">
        <v>1026311.0</v>
      </c>
      <c r="C907" s="10" t="s">
        <v>20</v>
      </c>
      <c r="D907" s="9" t="s">
        <v>5605</v>
      </c>
      <c r="E907" s="10" t="s">
        <v>5606</v>
      </c>
      <c r="F907" s="11">
        <v>1026311.0</v>
      </c>
      <c r="G907" s="11">
        <v>856982.0</v>
      </c>
      <c r="H907" s="10" t="s">
        <v>5607</v>
      </c>
      <c r="I907" s="10" t="s">
        <v>5608</v>
      </c>
      <c r="J907" s="10" t="s">
        <v>5609</v>
      </c>
      <c r="K907" s="10" t="s">
        <v>5610</v>
      </c>
      <c r="L907" s="10" t="s">
        <v>5609</v>
      </c>
      <c r="M907" s="11">
        <v>1997.0</v>
      </c>
      <c r="N907" s="10" t="s">
        <v>5611</v>
      </c>
      <c r="O907" s="10" t="s">
        <v>5611</v>
      </c>
      <c r="P907" s="11">
        <v>7319.0</v>
      </c>
      <c r="Q907" s="11">
        <v>7373.0</v>
      </c>
      <c r="R907" s="11">
        <v>5.0</v>
      </c>
      <c r="S907" s="10"/>
      <c r="T907" s="10"/>
      <c r="U907" s="10"/>
      <c r="V907" s="10"/>
      <c r="W907" s="10"/>
      <c r="X907" s="10"/>
      <c r="Y907" s="10"/>
    </row>
    <row r="908">
      <c r="A908" s="10" t="s">
        <v>5612</v>
      </c>
      <c r="B908" s="11">
        <v>1490281.0</v>
      </c>
      <c r="C908" s="10" t="s">
        <v>20</v>
      </c>
      <c r="D908" s="9" t="s">
        <v>5613</v>
      </c>
      <c r="E908" s="10" t="s">
        <v>5614</v>
      </c>
      <c r="F908" s="11">
        <v>1490281.0</v>
      </c>
      <c r="G908" s="11">
        <v>1490281.0</v>
      </c>
      <c r="H908" s="10" t="s">
        <v>5615</v>
      </c>
      <c r="I908" s="10" t="s">
        <v>5616</v>
      </c>
      <c r="J908" s="10" t="s">
        <v>5617</v>
      </c>
      <c r="K908" s="10" t="s">
        <v>5617</v>
      </c>
      <c r="L908" s="10" t="s">
        <v>5617</v>
      </c>
      <c r="M908" s="11">
        <v>2011.0</v>
      </c>
      <c r="N908" s="10" t="s">
        <v>5618</v>
      </c>
      <c r="O908" s="10" t="s">
        <v>5618</v>
      </c>
      <c r="P908" s="11">
        <v>7375.0</v>
      </c>
      <c r="Q908" s="11">
        <v>5960.0</v>
      </c>
      <c r="R908" s="11">
        <v>20.0</v>
      </c>
      <c r="S908" s="10"/>
      <c r="T908" s="10"/>
      <c r="U908" s="10"/>
      <c r="V908" s="10"/>
      <c r="W908" s="10"/>
      <c r="X908" s="10"/>
      <c r="Y908" s="10"/>
    </row>
    <row r="909">
      <c r="A909" s="10" t="s">
        <v>5619</v>
      </c>
      <c r="B909" s="11">
        <v>1832168.0</v>
      </c>
      <c r="C909" s="10" t="s">
        <v>20</v>
      </c>
      <c r="D909" s="9" t="s">
        <v>5620</v>
      </c>
      <c r="E909" s="10" t="s">
        <v>5621</v>
      </c>
      <c r="F909" s="11">
        <v>1832168.0</v>
      </c>
      <c r="G909" s="10"/>
      <c r="H909" s="10" t="s">
        <v>5622</v>
      </c>
      <c r="I909" s="10" t="s">
        <v>5623</v>
      </c>
      <c r="J909" s="10" t="s">
        <v>5624</v>
      </c>
      <c r="K909" s="10" t="s">
        <v>5624</v>
      </c>
      <c r="L909" s="10" t="s">
        <v>5624</v>
      </c>
      <c r="M909" s="11">
        <v>2021.0</v>
      </c>
      <c r="N909" s="10" t="s">
        <v>5625</v>
      </c>
      <c r="O909" s="10" t="s">
        <v>5625</v>
      </c>
      <c r="P909" s="11">
        <v>8731.0</v>
      </c>
      <c r="Q909" s="11">
        <v>2834.0</v>
      </c>
      <c r="R909" s="11">
        <v>16.0</v>
      </c>
      <c r="S909" s="10"/>
      <c r="T909" s="10"/>
      <c r="U909" s="10"/>
      <c r="V909" s="10"/>
      <c r="W909" s="10"/>
      <c r="X909" s="10"/>
      <c r="Y909" s="10"/>
    </row>
    <row r="910">
      <c r="A910" s="10" t="s">
        <v>5626</v>
      </c>
      <c r="B910" s="11">
        <v>1441816.0</v>
      </c>
      <c r="C910" s="10" t="s">
        <v>20</v>
      </c>
      <c r="D910" s="9" t="s">
        <v>5627</v>
      </c>
      <c r="E910" s="10" t="s">
        <v>5628</v>
      </c>
      <c r="F910" s="11">
        <v>1441816.0</v>
      </c>
      <c r="G910" s="11">
        <v>1441816.0</v>
      </c>
      <c r="H910" s="10" t="s">
        <v>5629</v>
      </c>
      <c r="I910" s="10" t="s">
        <v>5630</v>
      </c>
      <c r="J910" s="10" t="s">
        <v>5631</v>
      </c>
      <c r="K910" s="10" t="s">
        <v>5631</v>
      </c>
      <c r="L910" s="10" t="s">
        <v>5631</v>
      </c>
      <c r="M910" s="11">
        <v>2017.0</v>
      </c>
      <c r="N910" s="10" t="s">
        <v>5632</v>
      </c>
      <c r="O910" s="10" t="s">
        <v>5632</v>
      </c>
      <c r="P910" s="11">
        <v>7372.0</v>
      </c>
      <c r="Q910" s="11">
        <v>7370.0</v>
      </c>
      <c r="R910" s="11">
        <v>24.0</v>
      </c>
      <c r="S910" s="10"/>
      <c r="T910" s="10"/>
      <c r="U910" s="10"/>
      <c r="V910" s="10"/>
      <c r="W910" s="10"/>
      <c r="X910" s="10"/>
      <c r="Y910" s="10"/>
    </row>
    <row r="911">
      <c r="A911" s="10" t="s">
        <v>5633</v>
      </c>
      <c r="B911" s="11">
        <v>1051209.0</v>
      </c>
      <c r="C911" s="10" t="s">
        <v>20</v>
      </c>
      <c r="D911" s="9" t="s">
        <v>5634</v>
      </c>
      <c r="E911" s="10"/>
      <c r="F911" s="10"/>
      <c r="G911" s="10"/>
      <c r="H911" s="10" t="s">
        <v>5635</v>
      </c>
      <c r="I911" s="10" t="s">
        <v>5636</v>
      </c>
      <c r="J911" s="10" t="s">
        <v>5637</v>
      </c>
      <c r="K911" s="10"/>
      <c r="L911" s="10" t="s">
        <v>5637</v>
      </c>
      <c r="M911" s="11">
        <v>1998.0</v>
      </c>
      <c r="N911" s="10"/>
      <c r="O911" s="10"/>
      <c r="P911" s="11">
        <v>7389.0</v>
      </c>
      <c r="Q911" s="10"/>
      <c r="R911" s="11">
        <v>14.5</v>
      </c>
      <c r="S911" s="10"/>
      <c r="T911" s="10"/>
      <c r="U911" s="10"/>
      <c r="V911" s="10"/>
      <c r="W911" s="10"/>
      <c r="X911" s="10"/>
      <c r="Y911" s="10"/>
    </row>
    <row r="912">
      <c r="A912" s="10" t="s">
        <v>5638</v>
      </c>
      <c r="B912" s="11">
        <v>1062047.0</v>
      </c>
      <c r="C912" s="10" t="s">
        <v>20</v>
      </c>
      <c r="D912" s="9" t="s">
        <v>5639</v>
      </c>
      <c r="E912" s="10" t="s">
        <v>5640</v>
      </c>
      <c r="F912" s="11">
        <v>1062047.0</v>
      </c>
      <c r="G912" s="10"/>
      <c r="H912" s="10" t="s">
        <v>5641</v>
      </c>
      <c r="I912" s="10" t="s">
        <v>5642</v>
      </c>
      <c r="J912" s="10" t="s">
        <v>5643</v>
      </c>
      <c r="K912" s="10" t="s">
        <v>5643</v>
      </c>
      <c r="L912" s="10" t="s">
        <v>5644</v>
      </c>
      <c r="M912" s="11">
        <v>1998.0</v>
      </c>
      <c r="N912" s="10" t="s">
        <v>5645</v>
      </c>
      <c r="O912" s="10" t="s">
        <v>5645</v>
      </c>
      <c r="P912" s="11">
        <v>7373.0</v>
      </c>
      <c r="Q912" s="11">
        <v>7389.0</v>
      </c>
      <c r="R912" s="11">
        <v>15.0</v>
      </c>
      <c r="S912" s="10"/>
      <c r="T912" s="10"/>
      <c r="U912" s="10"/>
      <c r="V912" s="10"/>
      <c r="W912" s="10"/>
      <c r="X912" s="10"/>
      <c r="Y912" s="10"/>
    </row>
    <row r="913">
      <c r="A913" s="10" t="s">
        <v>5646</v>
      </c>
      <c r="B913" s="11">
        <v>945127.0</v>
      </c>
      <c r="C913" s="10" t="s">
        <v>20</v>
      </c>
      <c r="D913" s="9" t="s">
        <v>5647</v>
      </c>
      <c r="E913" s="10" t="s">
        <v>5648</v>
      </c>
      <c r="F913" s="11">
        <v>945127.0</v>
      </c>
      <c r="G913" s="11">
        <v>1726445.0</v>
      </c>
      <c r="H913" s="10" t="s">
        <v>5649</v>
      </c>
      <c r="I913" s="10" t="s">
        <v>5650</v>
      </c>
      <c r="J913" s="10" t="s">
        <v>5651</v>
      </c>
      <c r="K913" s="10" t="s">
        <v>5652</v>
      </c>
      <c r="L913" s="10"/>
      <c r="M913" s="11">
        <v>1995.0</v>
      </c>
      <c r="N913" s="10" t="s">
        <v>3451</v>
      </c>
      <c r="O913" s="10" t="s">
        <v>3451</v>
      </c>
      <c r="P913" s="11">
        <v>7371.0</v>
      </c>
      <c r="Q913" s="11">
        <v>7372.0</v>
      </c>
      <c r="R913" s="11">
        <v>18.0</v>
      </c>
      <c r="S913" s="10"/>
      <c r="T913" s="10"/>
      <c r="U913" s="10"/>
      <c r="V913" s="10"/>
      <c r="W913" s="10"/>
      <c r="X913" s="10"/>
      <c r="Y913" s="10"/>
    </row>
    <row r="914">
      <c r="A914" s="10" t="s">
        <v>5653</v>
      </c>
      <c r="B914" s="11">
        <v>1724979.0</v>
      </c>
      <c r="C914" s="10" t="s">
        <v>20</v>
      </c>
      <c r="D914" s="9" t="s">
        <v>5654</v>
      </c>
      <c r="E914" s="10" t="s">
        <v>5655</v>
      </c>
      <c r="F914" s="11">
        <v>1724979.0</v>
      </c>
      <c r="G914" s="11">
        <v>2028293.0</v>
      </c>
      <c r="H914" s="10" t="s">
        <v>5656</v>
      </c>
      <c r="I914" s="10" t="s">
        <v>5657</v>
      </c>
      <c r="J914" s="10" t="s">
        <v>5658</v>
      </c>
      <c r="K914" s="10" t="s">
        <v>5659</v>
      </c>
      <c r="L914" s="10" t="s">
        <v>5658</v>
      </c>
      <c r="M914" s="11">
        <v>2021.0</v>
      </c>
      <c r="N914" s="10" t="s">
        <v>5660</v>
      </c>
      <c r="O914" s="10" t="s">
        <v>5660</v>
      </c>
      <c r="P914" s="11">
        <v>8731.0</v>
      </c>
      <c r="Q914" s="11">
        <v>2834.0</v>
      </c>
      <c r="R914" s="11">
        <v>17.0</v>
      </c>
      <c r="S914" s="10"/>
      <c r="T914" s="10"/>
      <c r="U914" s="10"/>
      <c r="V914" s="10"/>
      <c r="W914" s="10"/>
      <c r="X914" s="10"/>
      <c r="Y914" s="10"/>
    </row>
    <row r="915">
      <c r="A915" s="10" t="s">
        <v>5661</v>
      </c>
      <c r="B915" s="11">
        <v>1283709.0</v>
      </c>
      <c r="C915" s="10" t="s">
        <v>20</v>
      </c>
      <c r="D915" s="9" t="s">
        <v>5662</v>
      </c>
      <c r="E915" s="10" t="s">
        <v>5663</v>
      </c>
      <c r="F915" s="11">
        <v>1283709.0</v>
      </c>
      <c r="G915" s="10"/>
      <c r="H915" s="10" t="s">
        <v>5664</v>
      </c>
      <c r="I915" s="10" t="s">
        <v>5665</v>
      </c>
      <c r="J915" s="10" t="s">
        <v>5666</v>
      </c>
      <c r="K915" s="10" t="s">
        <v>5666</v>
      </c>
      <c r="L915" s="10" t="s">
        <v>5666</v>
      </c>
      <c r="M915" s="11">
        <v>2004.0</v>
      </c>
      <c r="N915" s="10" t="s">
        <v>5667</v>
      </c>
      <c r="O915" s="10" t="s">
        <v>5667</v>
      </c>
      <c r="P915" s="11">
        <v>6531.0</v>
      </c>
      <c r="Q915" s="11">
        <v>6500.0</v>
      </c>
      <c r="R915" s="11">
        <v>12.0</v>
      </c>
      <c r="S915" s="10"/>
      <c r="T915" s="10"/>
      <c r="U915" s="10"/>
      <c r="V915" s="10"/>
      <c r="W915" s="10"/>
      <c r="X915" s="10"/>
      <c r="Y915" s="10"/>
    </row>
    <row r="916">
      <c r="A916" s="10" t="s">
        <v>5668</v>
      </c>
      <c r="B916" s="11">
        <v>860413.0</v>
      </c>
      <c r="C916" s="8" t="s">
        <v>762</v>
      </c>
      <c r="D916" s="9" t="s">
        <v>5669</v>
      </c>
      <c r="E916" s="10" t="s">
        <v>5670</v>
      </c>
      <c r="F916" s="11">
        <v>860413.0</v>
      </c>
      <c r="G916" s="11">
        <v>860413.0</v>
      </c>
      <c r="H916" s="10" t="s">
        <v>5671</v>
      </c>
      <c r="I916" s="10" t="s">
        <v>5672</v>
      </c>
      <c r="J916" s="10" t="s">
        <v>5673</v>
      </c>
      <c r="K916" s="10" t="s">
        <v>5673</v>
      </c>
      <c r="L916" s="10" t="s">
        <v>5673</v>
      </c>
      <c r="M916" s="11">
        <v>2010.0</v>
      </c>
      <c r="N916" s="10" t="s">
        <v>5674</v>
      </c>
      <c r="O916" s="10" t="s">
        <v>5674</v>
      </c>
      <c r="P916" s="11">
        <v>6022.0</v>
      </c>
      <c r="Q916" s="11">
        <v>6020.0</v>
      </c>
      <c r="R916" s="11">
        <v>14.5</v>
      </c>
      <c r="S916" s="10"/>
      <c r="T916" s="10"/>
      <c r="U916" s="10"/>
      <c r="V916" s="10"/>
      <c r="W916" s="10"/>
      <c r="X916" s="10"/>
      <c r="Y916" s="10"/>
    </row>
    <row r="917">
      <c r="A917" s="10" t="s">
        <v>5675</v>
      </c>
      <c r="B917" s="11">
        <v>1065034.0</v>
      </c>
      <c r="C917" s="10" t="s">
        <v>20</v>
      </c>
      <c r="D917" s="9" t="s">
        <v>5676</v>
      </c>
      <c r="E917" s="10" t="s">
        <v>5677</v>
      </c>
      <c r="F917" s="11">
        <v>1065034.0</v>
      </c>
      <c r="G917" s="10"/>
      <c r="H917" s="10" t="s">
        <v>5678</v>
      </c>
      <c r="I917" s="10" t="s">
        <v>5679</v>
      </c>
      <c r="J917" s="10" t="s">
        <v>5680</v>
      </c>
      <c r="K917" s="10" t="s">
        <v>5680</v>
      </c>
      <c r="L917" s="10" t="s">
        <v>5680</v>
      </c>
      <c r="M917" s="11">
        <v>2001.0</v>
      </c>
      <c r="N917" s="10" t="s">
        <v>5681</v>
      </c>
      <c r="O917" s="10" t="s">
        <v>5681</v>
      </c>
      <c r="P917" s="11">
        <v>7372.0</v>
      </c>
      <c r="Q917" s="11">
        <v>7372.0</v>
      </c>
      <c r="R917" s="11">
        <v>13.0</v>
      </c>
      <c r="S917" s="10"/>
      <c r="T917" s="10"/>
      <c r="U917" s="10"/>
      <c r="V917" s="10"/>
      <c r="W917" s="10"/>
      <c r="X917" s="10"/>
      <c r="Y917" s="10"/>
    </row>
    <row r="918">
      <c r="A918" s="10" t="s">
        <v>5682</v>
      </c>
      <c r="B918" s="11">
        <v>1372414.0</v>
      </c>
      <c r="C918" s="10" t="s">
        <v>20</v>
      </c>
      <c r="D918" s="9" t="s">
        <v>5683</v>
      </c>
      <c r="E918" s="10"/>
      <c r="F918" s="10"/>
      <c r="G918" s="11">
        <v>1720424.0</v>
      </c>
      <c r="H918" s="10" t="s">
        <v>5684</v>
      </c>
      <c r="I918" s="10" t="s">
        <v>5685</v>
      </c>
      <c r="J918" s="10" t="s">
        <v>5686</v>
      </c>
      <c r="K918" s="10"/>
      <c r="L918" s="10" t="s">
        <v>5686</v>
      </c>
      <c r="M918" s="11">
        <v>2014.0</v>
      </c>
      <c r="N918" s="10"/>
      <c r="O918" s="10"/>
      <c r="P918" s="11">
        <v>7373.0</v>
      </c>
      <c r="Q918" s="10"/>
      <c r="R918" s="11">
        <v>10.0</v>
      </c>
      <c r="S918" s="10"/>
      <c r="T918" s="10"/>
      <c r="U918" s="10"/>
      <c r="V918" s="10"/>
      <c r="W918" s="10"/>
      <c r="X918" s="10"/>
      <c r="Y918" s="10"/>
    </row>
    <row r="919">
      <c r="A919" s="10" t="s">
        <v>5687</v>
      </c>
      <c r="B919" s="11">
        <v>1561550.0</v>
      </c>
      <c r="C919" s="10" t="s">
        <v>20</v>
      </c>
      <c r="D919" s="9" t="s">
        <v>5688</v>
      </c>
      <c r="E919" s="10" t="s">
        <v>5689</v>
      </c>
      <c r="F919" s="11">
        <v>1561550.0</v>
      </c>
      <c r="G919" s="11">
        <v>1561550.0</v>
      </c>
      <c r="H919" s="10" t="s">
        <v>5690</v>
      </c>
      <c r="I919" s="10" t="s">
        <v>5691</v>
      </c>
      <c r="J919" s="10" t="s">
        <v>5692</v>
      </c>
      <c r="K919" s="10" t="s">
        <v>5692</v>
      </c>
      <c r="L919" s="10" t="s">
        <v>5692</v>
      </c>
      <c r="M919" s="11">
        <v>2019.0</v>
      </c>
      <c r="N919" s="10" t="s">
        <v>5693</v>
      </c>
      <c r="O919" s="10" t="s">
        <v>5693</v>
      </c>
      <c r="P919" s="11">
        <v>7372.0</v>
      </c>
      <c r="Q919" s="11">
        <v>7370.0</v>
      </c>
      <c r="R919" s="11">
        <v>27.0</v>
      </c>
      <c r="S919" s="10"/>
      <c r="T919" s="10"/>
      <c r="U919" s="10"/>
      <c r="V919" s="10"/>
      <c r="W919" s="10"/>
      <c r="X919" s="10"/>
      <c r="Y919" s="10"/>
    </row>
    <row r="920">
      <c r="A920" s="10" t="s">
        <v>5694</v>
      </c>
      <c r="B920" s="11">
        <v>1059623.0</v>
      </c>
      <c r="C920" s="10" t="s">
        <v>20</v>
      </c>
      <c r="D920" s="9" t="s">
        <v>5695</v>
      </c>
      <c r="E920" s="10"/>
      <c r="F920" s="10"/>
      <c r="G920" s="10"/>
      <c r="H920" s="10" t="s">
        <v>5696</v>
      </c>
      <c r="I920" s="10" t="s">
        <v>5697</v>
      </c>
      <c r="J920" s="10" t="s">
        <v>5698</v>
      </c>
      <c r="K920" s="10"/>
      <c r="L920" s="10" t="s">
        <v>5698</v>
      </c>
      <c r="M920" s="11">
        <v>1998.0</v>
      </c>
      <c r="N920" s="10"/>
      <c r="O920" s="10"/>
      <c r="P920" s="11">
        <v>8731.0</v>
      </c>
      <c r="Q920" s="10"/>
      <c r="R920" s="11">
        <v>5.0</v>
      </c>
      <c r="S920" s="10"/>
      <c r="T920" s="10"/>
      <c r="U920" s="10"/>
      <c r="V920" s="10"/>
      <c r="W920" s="10"/>
      <c r="X920" s="10"/>
      <c r="Y920" s="10"/>
    </row>
    <row r="921">
      <c r="A921" s="10" t="s">
        <v>5699</v>
      </c>
      <c r="B921" s="11">
        <v>1661059.0</v>
      </c>
      <c r="C921" s="10" t="s">
        <v>20</v>
      </c>
      <c r="D921" s="9" t="s">
        <v>5700</v>
      </c>
      <c r="E921" s="10" t="s">
        <v>5701</v>
      </c>
      <c r="F921" s="11">
        <v>1661059.0</v>
      </c>
      <c r="G921" s="11">
        <v>1661059.0</v>
      </c>
      <c r="H921" s="10" t="s">
        <v>5702</v>
      </c>
      <c r="I921" s="10" t="s">
        <v>5703</v>
      </c>
      <c r="J921" s="10" t="s">
        <v>5704</v>
      </c>
      <c r="K921" s="10" t="s">
        <v>5704</v>
      </c>
      <c r="L921" s="10" t="s">
        <v>5704</v>
      </c>
      <c r="M921" s="11">
        <v>2019.0</v>
      </c>
      <c r="N921" s="10" t="s">
        <v>5705</v>
      </c>
      <c r="O921" s="10" t="s">
        <v>5705</v>
      </c>
      <c r="P921" s="11">
        <v>8731.0</v>
      </c>
      <c r="Q921" s="11">
        <v>2836.0</v>
      </c>
      <c r="R921" s="11">
        <v>15.0</v>
      </c>
      <c r="S921" s="10"/>
      <c r="T921" s="10"/>
      <c r="U921" s="10"/>
      <c r="V921" s="10"/>
      <c r="W921" s="10"/>
      <c r="X921" s="10"/>
      <c r="Y921" s="10"/>
    </row>
    <row r="922">
      <c r="A922" s="10" t="s">
        <v>5706</v>
      </c>
      <c r="B922" s="11">
        <v>1013795.0</v>
      </c>
      <c r="C922" s="10" t="s">
        <v>20</v>
      </c>
      <c r="D922" s="9" t="s">
        <v>5707</v>
      </c>
      <c r="E922" s="10" t="s">
        <v>5708</v>
      </c>
      <c r="F922" s="11">
        <v>1013795.0</v>
      </c>
      <c r="G922" s="11">
        <v>1375365.0</v>
      </c>
      <c r="H922" s="10" t="s">
        <v>5709</v>
      </c>
      <c r="I922" s="10" t="s">
        <v>5710</v>
      </c>
      <c r="J922" s="10" t="s">
        <v>5711</v>
      </c>
      <c r="K922" s="10" t="s">
        <v>5712</v>
      </c>
      <c r="L922" s="10" t="s">
        <v>5711</v>
      </c>
      <c r="M922" s="11">
        <v>1996.0</v>
      </c>
      <c r="N922" s="10" t="s">
        <v>5713</v>
      </c>
      <c r="O922" s="10" t="s">
        <v>5713</v>
      </c>
      <c r="P922" s="11">
        <v>7371.0</v>
      </c>
      <c r="Q922" s="11">
        <v>7372.0</v>
      </c>
      <c r="R922" s="11">
        <v>9.0</v>
      </c>
      <c r="S922" s="10"/>
      <c r="T922" s="10"/>
      <c r="U922" s="10"/>
      <c r="V922" s="10"/>
      <c r="W922" s="10"/>
      <c r="X922" s="10"/>
      <c r="Y922" s="10"/>
    </row>
    <row r="923">
      <c r="A923" s="10" t="s">
        <v>5714</v>
      </c>
      <c r="B923" s="11">
        <v>1725579.0</v>
      </c>
      <c r="C923" s="10" t="s">
        <v>20</v>
      </c>
      <c r="D923" s="9" t="s">
        <v>5715</v>
      </c>
      <c r="E923" s="10" t="s">
        <v>5716</v>
      </c>
      <c r="F923" s="11">
        <v>1725579.0</v>
      </c>
      <c r="G923" s="10"/>
      <c r="H923" s="10" t="s">
        <v>5717</v>
      </c>
      <c r="I923" s="10" t="s">
        <v>5718</v>
      </c>
      <c r="J923" s="10"/>
      <c r="K923" s="10" t="s">
        <v>5719</v>
      </c>
      <c r="L923" s="10"/>
      <c r="M923" s="11">
        <v>2018.0</v>
      </c>
      <c r="N923" s="10" t="s">
        <v>5720</v>
      </c>
      <c r="O923" s="10" t="s">
        <v>5720</v>
      </c>
      <c r="P923" s="11">
        <v>7375.0</v>
      </c>
      <c r="Q923" s="11">
        <v>7370.0</v>
      </c>
      <c r="R923" s="11">
        <v>15.0</v>
      </c>
      <c r="S923" s="10"/>
      <c r="T923" s="10"/>
      <c r="U923" s="10"/>
      <c r="V923" s="10"/>
      <c r="W923" s="10"/>
      <c r="X923" s="10"/>
      <c r="Y923" s="10"/>
    </row>
    <row r="924">
      <c r="A924" s="10" t="s">
        <v>5721</v>
      </c>
      <c r="B924" s="11">
        <v>1295172.0</v>
      </c>
      <c r="C924" s="10" t="s">
        <v>749</v>
      </c>
      <c r="D924" s="9" t="s">
        <v>5722</v>
      </c>
      <c r="E924" s="10" t="s">
        <v>5723</v>
      </c>
      <c r="F924" s="11">
        <v>1295172.0</v>
      </c>
      <c r="G924" s="10"/>
      <c r="H924" s="10" t="s">
        <v>5724</v>
      </c>
      <c r="I924" s="10" t="s">
        <v>5725</v>
      </c>
      <c r="J924" s="10" t="s">
        <v>3032</v>
      </c>
      <c r="K924" s="10" t="s">
        <v>5726</v>
      </c>
      <c r="L924" s="10" t="s">
        <v>3032</v>
      </c>
      <c r="M924" s="11">
        <v>2008.0</v>
      </c>
      <c r="N924" s="10" t="s">
        <v>5727</v>
      </c>
      <c r="O924" s="10" t="s">
        <v>5727</v>
      </c>
      <c r="P924" s="11">
        <v>7389.0</v>
      </c>
      <c r="Q924" s="11">
        <v>6411.0</v>
      </c>
      <c r="R924" s="11">
        <v>17.5</v>
      </c>
      <c r="S924" s="10"/>
      <c r="T924" s="10"/>
      <c r="U924" s="10"/>
      <c r="V924" s="10"/>
      <c r="W924" s="10"/>
      <c r="X924" s="10"/>
      <c r="Y924" s="10"/>
    </row>
    <row r="925">
      <c r="A925" s="10" t="s">
        <v>5728</v>
      </c>
      <c r="B925" s="11">
        <v>1078203.0</v>
      </c>
      <c r="C925" s="10" t="s">
        <v>20</v>
      </c>
      <c r="D925" s="9" t="s">
        <v>5729</v>
      </c>
      <c r="E925" s="10"/>
      <c r="F925" s="10"/>
      <c r="G925" s="10"/>
      <c r="H925" s="10" t="s">
        <v>5730</v>
      </c>
      <c r="I925" s="10" t="s">
        <v>5731</v>
      </c>
      <c r="J925" s="10"/>
      <c r="K925" s="10"/>
      <c r="L925" s="10"/>
      <c r="M925" s="11">
        <v>1999.0</v>
      </c>
      <c r="N925" s="10"/>
      <c r="O925" s="10"/>
      <c r="P925" s="11">
        <v>7372.0</v>
      </c>
      <c r="Q925" s="10"/>
      <c r="R925" s="11">
        <v>14.0</v>
      </c>
      <c r="S925" s="10"/>
      <c r="T925" s="10"/>
      <c r="U925" s="10"/>
      <c r="V925" s="10"/>
      <c r="W925" s="10"/>
      <c r="X925" s="10"/>
      <c r="Y925" s="10"/>
    </row>
    <row r="926">
      <c r="A926" s="10" t="s">
        <v>5732</v>
      </c>
      <c r="B926" s="11">
        <v>1564618.0</v>
      </c>
      <c r="C926" s="8" t="s">
        <v>762</v>
      </c>
      <c r="D926" s="9" t="s">
        <v>5733</v>
      </c>
      <c r="E926" s="10"/>
      <c r="F926" s="10"/>
      <c r="G926" s="10"/>
      <c r="H926" s="10" t="s">
        <v>5734</v>
      </c>
      <c r="I926" s="10" t="s">
        <v>5735</v>
      </c>
      <c r="J926" s="10" t="s">
        <v>5736</v>
      </c>
      <c r="K926" s="10"/>
      <c r="L926" s="10" t="s">
        <v>5736</v>
      </c>
      <c r="M926" s="11">
        <v>2013.0</v>
      </c>
      <c r="N926" s="10"/>
      <c r="O926" s="10"/>
      <c r="P926" s="11">
        <v>6022.0</v>
      </c>
      <c r="Q926" s="10"/>
      <c r="R926" s="11">
        <v>26.0</v>
      </c>
      <c r="S926" s="10"/>
      <c r="T926" s="10"/>
      <c r="U926" s="10"/>
      <c r="V926" s="10"/>
      <c r="W926" s="10"/>
      <c r="X926" s="10"/>
      <c r="Y926" s="10"/>
    </row>
    <row r="927">
      <c r="A927" s="10" t="s">
        <v>5737</v>
      </c>
      <c r="B927" s="11">
        <v>1078075.0</v>
      </c>
      <c r="C927" s="10" t="s">
        <v>20</v>
      </c>
      <c r="D927" s="9" t="s">
        <v>5738</v>
      </c>
      <c r="E927" s="10" t="s">
        <v>5739</v>
      </c>
      <c r="F927" s="11">
        <v>1078075.0</v>
      </c>
      <c r="G927" s="11">
        <v>1078075.0</v>
      </c>
      <c r="H927" s="10" t="s">
        <v>5740</v>
      </c>
      <c r="I927" s="10" t="s">
        <v>5741</v>
      </c>
      <c r="J927" s="10" t="s">
        <v>5742</v>
      </c>
      <c r="K927" s="10" t="s">
        <v>5742</v>
      </c>
      <c r="L927" s="10" t="s">
        <v>5742</v>
      </c>
      <c r="M927" s="11">
        <v>1999.0</v>
      </c>
      <c r="N927" s="10" t="s">
        <v>5743</v>
      </c>
      <c r="O927" s="10" t="s">
        <v>5743</v>
      </c>
      <c r="P927" s="11">
        <v>7373.0</v>
      </c>
      <c r="Q927" s="11">
        <v>7373.0</v>
      </c>
      <c r="R927" s="11">
        <v>11.0</v>
      </c>
      <c r="S927" s="10"/>
      <c r="T927" s="10"/>
      <c r="U927" s="10"/>
      <c r="V927" s="10"/>
      <c r="W927" s="10"/>
      <c r="X927" s="10"/>
      <c r="Y927" s="10"/>
    </row>
    <row r="928">
      <c r="A928" s="10" t="s">
        <v>5744</v>
      </c>
      <c r="B928" s="11">
        <v>1005291.0</v>
      </c>
      <c r="C928" s="10" t="s">
        <v>20</v>
      </c>
      <c r="D928" s="9" t="s">
        <v>5745</v>
      </c>
      <c r="E928" s="10" t="s">
        <v>5746</v>
      </c>
      <c r="F928" s="11">
        <v>1005291.0</v>
      </c>
      <c r="G928" s="11">
        <v>1703399.0</v>
      </c>
      <c r="H928" s="10" t="s">
        <v>5747</v>
      </c>
      <c r="I928" s="10" t="s">
        <v>5748</v>
      </c>
      <c r="J928" s="10" t="s">
        <v>5749</v>
      </c>
      <c r="K928" s="10" t="s">
        <v>5750</v>
      </c>
      <c r="L928" s="10" t="s">
        <v>5751</v>
      </c>
      <c r="M928" s="11">
        <v>1996.0</v>
      </c>
      <c r="N928" s="10" t="s">
        <v>5752</v>
      </c>
      <c r="O928" s="10" t="s">
        <v>5752</v>
      </c>
      <c r="P928" s="11">
        <v>7372.0</v>
      </c>
      <c r="Q928" s="11">
        <v>7372.0</v>
      </c>
      <c r="R928" s="11">
        <v>24.0</v>
      </c>
      <c r="S928" s="10"/>
      <c r="T928" s="10"/>
      <c r="U928" s="10"/>
      <c r="V928" s="10"/>
      <c r="W928" s="10"/>
      <c r="X928" s="10"/>
      <c r="Y928" s="10"/>
    </row>
    <row r="929">
      <c r="A929" s="10" t="s">
        <v>5753</v>
      </c>
      <c r="B929" s="11">
        <v>834208.0</v>
      </c>
      <c r="C929" s="10" t="s">
        <v>20</v>
      </c>
      <c r="D929" s="9" t="s">
        <v>5754</v>
      </c>
      <c r="E929" s="10" t="s">
        <v>5755</v>
      </c>
      <c r="F929" s="11">
        <v>834208.0</v>
      </c>
      <c r="G929" s="11">
        <v>1720635.0</v>
      </c>
      <c r="H929" s="10" t="s">
        <v>5756</v>
      </c>
      <c r="I929" s="10" t="s">
        <v>5757</v>
      </c>
      <c r="J929" s="10" t="s">
        <v>5758</v>
      </c>
      <c r="K929" s="10" t="s">
        <v>5759</v>
      </c>
      <c r="L929" s="10" t="s">
        <v>5758</v>
      </c>
      <c r="M929" s="11">
        <v>2004.0</v>
      </c>
      <c r="N929" s="10" t="s">
        <v>5760</v>
      </c>
      <c r="O929" s="10" t="s">
        <v>5760</v>
      </c>
      <c r="P929" s="11">
        <v>7372.0</v>
      </c>
      <c r="Q929" s="11">
        <v>7370.0</v>
      </c>
      <c r="R929" s="11">
        <v>22.0</v>
      </c>
      <c r="S929" s="10"/>
      <c r="T929" s="10"/>
      <c r="U929" s="10"/>
      <c r="V929" s="10"/>
      <c r="W929" s="10"/>
      <c r="X929" s="10"/>
      <c r="Y929" s="10"/>
    </row>
    <row r="930">
      <c r="A930" s="10" t="s">
        <v>5761</v>
      </c>
      <c r="B930" s="11">
        <v>1560327.0</v>
      </c>
      <c r="C930" s="10" t="s">
        <v>20</v>
      </c>
      <c r="D930" s="9" t="s">
        <v>5762</v>
      </c>
      <c r="E930" s="10" t="s">
        <v>5763</v>
      </c>
      <c r="F930" s="11">
        <v>1560327.0</v>
      </c>
      <c r="G930" s="11">
        <v>1560327.0</v>
      </c>
      <c r="H930" s="10" t="s">
        <v>5764</v>
      </c>
      <c r="I930" s="10" t="s">
        <v>5765</v>
      </c>
      <c r="J930" s="10" t="s">
        <v>5766</v>
      </c>
      <c r="K930" s="10" t="s">
        <v>5766</v>
      </c>
      <c r="L930" s="10" t="s">
        <v>5766</v>
      </c>
      <c r="M930" s="11">
        <v>2015.0</v>
      </c>
      <c r="N930" s="10" t="s">
        <v>5767</v>
      </c>
      <c r="O930" s="10" t="s">
        <v>5767</v>
      </c>
      <c r="P930" s="11">
        <v>7372.0</v>
      </c>
      <c r="Q930" s="11">
        <v>7372.0</v>
      </c>
      <c r="R930" s="11">
        <v>16.0</v>
      </c>
      <c r="S930" s="10"/>
      <c r="T930" s="10"/>
      <c r="U930" s="10"/>
      <c r="V930" s="10"/>
      <c r="W930" s="10"/>
      <c r="X930" s="10"/>
      <c r="Y930" s="10"/>
    </row>
    <row r="931">
      <c r="A931" s="10" t="s">
        <v>5768</v>
      </c>
      <c r="B931" s="11">
        <v>1470795.0</v>
      </c>
      <c r="C931" s="8" t="s">
        <v>762</v>
      </c>
      <c r="D931" s="9" t="s">
        <v>5769</v>
      </c>
      <c r="E931" s="10" t="s">
        <v>5770</v>
      </c>
      <c r="F931" s="11">
        <v>1470795.0</v>
      </c>
      <c r="G931" s="10"/>
      <c r="H931" s="10" t="s">
        <v>5771</v>
      </c>
      <c r="I931" s="10" t="s">
        <v>5772</v>
      </c>
      <c r="J931" s="10" t="s">
        <v>5773</v>
      </c>
      <c r="K931" s="10" t="s">
        <v>5773</v>
      </c>
      <c r="L931" s="10" t="s">
        <v>5773</v>
      </c>
      <c r="M931" s="11">
        <v>2010.0</v>
      </c>
      <c r="N931" s="10" t="s">
        <v>5774</v>
      </c>
      <c r="O931" s="10" t="s">
        <v>5774</v>
      </c>
      <c r="P931" s="11">
        <v>6035.0</v>
      </c>
      <c r="Q931" s="11">
        <v>6035.0</v>
      </c>
      <c r="R931" s="11">
        <v>10.0</v>
      </c>
      <c r="S931" s="10"/>
      <c r="T931" s="10"/>
      <c r="U931" s="10"/>
      <c r="V931" s="10"/>
      <c r="W931" s="10"/>
      <c r="X931" s="10"/>
      <c r="Y931" s="10"/>
    </row>
    <row r="932">
      <c r="A932" s="10" t="s">
        <v>5775</v>
      </c>
      <c r="B932" s="11">
        <v>1430592.0</v>
      </c>
      <c r="C932" s="10" t="s">
        <v>20</v>
      </c>
      <c r="D932" s="9" t="s">
        <v>5776</v>
      </c>
      <c r="E932" s="10" t="s">
        <v>5777</v>
      </c>
      <c r="F932" s="11">
        <v>1430592.0</v>
      </c>
      <c r="G932" s="10"/>
      <c r="H932" s="10" t="s">
        <v>5778</v>
      </c>
      <c r="I932" s="10" t="s">
        <v>5779</v>
      </c>
      <c r="J932" s="10" t="s">
        <v>5780</v>
      </c>
      <c r="K932" s="10" t="s">
        <v>5780</v>
      </c>
      <c r="L932" s="10" t="s">
        <v>5780</v>
      </c>
      <c r="M932" s="11">
        <v>2010.0</v>
      </c>
      <c r="N932" s="10" t="s">
        <v>5781</v>
      </c>
      <c r="O932" s="10" t="s">
        <v>5781</v>
      </c>
      <c r="P932" s="11">
        <v>6282.0</v>
      </c>
      <c r="Q932" s="11">
        <v>6282.0</v>
      </c>
      <c r="R932" s="11">
        <v>12.0</v>
      </c>
      <c r="S932" s="10"/>
      <c r="T932" s="10"/>
      <c r="U932" s="10"/>
      <c r="V932" s="10"/>
      <c r="W932" s="10"/>
      <c r="X932" s="10"/>
      <c r="Y932" s="10"/>
    </row>
    <row r="933">
      <c r="A933" s="10" t="s">
        <v>5782</v>
      </c>
      <c r="B933" s="11">
        <v>1089443.0</v>
      </c>
      <c r="C933" s="10" t="s">
        <v>20</v>
      </c>
      <c r="D933" s="9" t="s">
        <v>5783</v>
      </c>
      <c r="E933" s="10" t="s">
        <v>5784</v>
      </c>
      <c r="F933" s="11">
        <v>1089443.0</v>
      </c>
      <c r="G933" s="11">
        <v>1438231.0</v>
      </c>
      <c r="H933" s="10" t="s">
        <v>5785</v>
      </c>
      <c r="I933" s="10" t="s">
        <v>5786</v>
      </c>
      <c r="J933" s="10" t="s">
        <v>5787</v>
      </c>
      <c r="K933" s="10" t="s">
        <v>5788</v>
      </c>
      <c r="L933" s="10" t="s">
        <v>5787</v>
      </c>
      <c r="M933" s="11">
        <v>1999.0</v>
      </c>
      <c r="N933" s="10" t="s">
        <v>1257</v>
      </c>
      <c r="O933" s="10" t="s">
        <v>1257</v>
      </c>
      <c r="P933" s="11">
        <v>7373.0</v>
      </c>
      <c r="Q933" s="11">
        <v>7372.0</v>
      </c>
      <c r="R933" s="11">
        <v>20.0</v>
      </c>
      <c r="S933" s="10"/>
      <c r="T933" s="10"/>
      <c r="U933" s="10"/>
      <c r="V933" s="10"/>
      <c r="W933" s="10"/>
      <c r="X933" s="10"/>
      <c r="Y933" s="10"/>
    </row>
    <row r="934">
      <c r="A934" s="10" t="s">
        <v>5789</v>
      </c>
      <c r="B934" s="11">
        <v>1842952.0</v>
      </c>
      <c r="C934" s="10" t="s">
        <v>20</v>
      </c>
      <c r="D934" s="9" t="s">
        <v>5790</v>
      </c>
      <c r="E934" s="10" t="s">
        <v>5791</v>
      </c>
      <c r="F934" s="11">
        <v>1842952.0</v>
      </c>
      <c r="G934" s="11">
        <v>1842952.0</v>
      </c>
      <c r="H934" s="10" t="s">
        <v>5792</v>
      </c>
      <c r="I934" s="10" t="s">
        <v>5793</v>
      </c>
      <c r="J934" s="10" t="s">
        <v>5794</v>
      </c>
      <c r="K934" s="10" t="s">
        <v>5794</v>
      </c>
      <c r="L934" s="10" t="s">
        <v>5794</v>
      </c>
      <c r="M934" s="11">
        <v>2021.0</v>
      </c>
      <c r="N934" s="10" t="s">
        <v>3668</v>
      </c>
      <c r="O934" s="10" t="s">
        <v>3668</v>
      </c>
      <c r="P934" s="11">
        <v>8731.0</v>
      </c>
      <c r="Q934" s="11">
        <v>2834.0</v>
      </c>
      <c r="R934" s="11">
        <v>5.0</v>
      </c>
      <c r="S934" s="10"/>
      <c r="T934" s="10"/>
      <c r="U934" s="10"/>
      <c r="V934" s="10"/>
      <c r="W934" s="10"/>
      <c r="X934" s="10"/>
      <c r="Y934" s="10"/>
    </row>
    <row r="935">
      <c r="A935" s="10" t="s">
        <v>5795</v>
      </c>
      <c r="B935" s="11">
        <v>1023313.0</v>
      </c>
      <c r="C935" s="10" t="s">
        <v>20</v>
      </c>
      <c r="D935" s="9" t="s">
        <v>5796</v>
      </c>
      <c r="E935" s="10" t="s">
        <v>5797</v>
      </c>
      <c r="F935" s="11">
        <v>1023313.0</v>
      </c>
      <c r="G935" s="11">
        <v>1023313.0</v>
      </c>
      <c r="H935" s="10" t="s">
        <v>5798</v>
      </c>
      <c r="I935" s="10" t="s">
        <v>5799</v>
      </c>
      <c r="J935" s="10" t="s">
        <v>5800</v>
      </c>
      <c r="K935" s="10" t="s">
        <v>5800</v>
      </c>
      <c r="L935" s="10" t="s">
        <v>5800</v>
      </c>
      <c r="M935" s="11">
        <v>1996.0</v>
      </c>
      <c r="N935" s="10" t="s">
        <v>3630</v>
      </c>
      <c r="O935" s="10" t="s">
        <v>3630</v>
      </c>
      <c r="P935" s="11">
        <v>8732.0</v>
      </c>
      <c r="Q935" s="11">
        <v>8700.0</v>
      </c>
      <c r="R935" s="11">
        <v>16.0</v>
      </c>
      <c r="S935" s="10"/>
      <c r="T935" s="10"/>
      <c r="U935" s="10"/>
      <c r="V935" s="10"/>
      <c r="W935" s="10"/>
      <c r="X935" s="10"/>
      <c r="Y935" s="10"/>
    </row>
    <row r="936">
      <c r="A936" s="10" t="s">
        <v>5801</v>
      </c>
      <c r="B936" s="11">
        <v>1002130.0</v>
      </c>
      <c r="C936" s="8" t="s">
        <v>762</v>
      </c>
      <c r="D936" s="9" t="s">
        <v>5802</v>
      </c>
      <c r="E936" s="10" t="s">
        <v>5803</v>
      </c>
      <c r="F936" s="11">
        <v>1002130.0</v>
      </c>
      <c r="G936" s="10"/>
      <c r="H936" s="10" t="s">
        <v>5804</v>
      </c>
      <c r="I936" s="10" t="s">
        <v>5805</v>
      </c>
      <c r="J936" s="10" t="s">
        <v>5806</v>
      </c>
      <c r="K936" s="10" t="s">
        <v>5807</v>
      </c>
      <c r="L936" s="10"/>
      <c r="M936" s="11">
        <v>1996.0</v>
      </c>
      <c r="N936" s="10" t="s">
        <v>5808</v>
      </c>
      <c r="O936" s="10" t="s">
        <v>5808</v>
      </c>
      <c r="P936" s="11">
        <v>6162.0</v>
      </c>
      <c r="Q936" s="11">
        <v>6141.0</v>
      </c>
      <c r="R936" s="11">
        <v>21.0</v>
      </c>
      <c r="S936" s="10"/>
      <c r="T936" s="10"/>
      <c r="U936" s="10"/>
      <c r="V936" s="10"/>
      <c r="W936" s="10"/>
      <c r="X936" s="10"/>
      <c r="Y936" s="10"/>
    </row>
    <row r="937">
      <c r="A937" s="10" t="s">
        <v>5809</v>
      </c>
      <c r="B937" s="11">
        <v>1014960.0</v>
      </c>
      <c r="C937" s="10" t="s">
        <v>20</v>
      </c>
      <c r="D937" s="9" t="s">
        <v>5810</v>
      </c>
      <c r="E937" s="10" t="s">
        <v>5811</v>
      </c>
      <c r="F937" s="11">
        <v>1014960.0</v>
      </c>
      <c r="G937" s="10"/>
      <c r="H937" s="10" t="s">
        <v>5812</v>
      </c>
      <c r="I937" s="10" t="s">
        <v>5813</v>
      </c>
      <c r="J937" s="10" t="s">
        <v>5814</v>
      </c>
      <c r="K937" s="10" t="s">
        <v>5815</v>
      </c>
      <c r="L937" s="10" t="s">
        <v>5814</v>
      </c>
      <c r="M937" s="11">
        <v>1996.0</v>
      </c>
      <c r="N937" s="10" t="s">
        <v>1330</v>
      </c>
      <c r="O937" s="10" t="s">
        <v>1330</v>
      </c>
      <c r="P937" s="11">
        <v>7389.0</v>
      </c>
      <c r="Q937" s="11">
        <v>7389.0</v>
      </c>
      <c r="R937" s="11">
        <v>15.0</v>
      </c>
      <c r="S937" s="10"/>
      <c r="T937" s="10"/>
      <c r="U937" s="10"/>
      <c r="V937" s="10"/>
      <c r="W937" s="10"/>
      <c r="X937" s="10"/>
      <c r="Y937" s="10"/>
    </row>
    <row r="938">
      <c r="A938" s="10" t="s">
        <v>5816</v>
      </c>
      <c r="B938" s="11">
        <v>1015780.0</v>
      </c>
      <c r="C938" s="10" t="s">
        <v>749</v>
      </c>
      <c r="D938" s="9" t="s">
        <v>5817</v>
      </c>
      <c r="E938" s="10" t="s">
        <v>5818</v>
      </c>
      <c r="F938" s="11">
        <v>1015780.0</v>
      </c>
      <c r="G938" s="11">
        <v>1276187.0</v>
      </c>
      <c r="H938" s="10" t="s">
        <v>5819</v>
      </c>
      <c r="I938" s="10" t="s">
        <v>5820</v>
      </c>
      <c r="J938" s="10" t="s">
        <v>5821</v>
      </c>
      <c r="K938" s="10" t="s">
        <v>5822</v>
      </c>
      <c r="L938" s="10" t="s">
        <v>5821</v>
      </c>
      <c r="M938" s="11">
        <v>1996.0</v>
      </c>
      <c r="N938" s="10" t="s">
        <v>1079</v>
      </c>
      <c r="O938" s="10" t="s">
        <v>1079</v>
      </c>
      <c r="P938" s="11">
        <v>6211.0</v>
      </c>
      <c r="Q938" s="11">
        <v>6211.0</v>
      </c>
      <c r="R938" s="11">
        <v>10.5</v>
      </c>
      <c r="S938" s="10"/>
      <c r="T938" s="10"/>
      <c r="U938" s="10"/>
      <c r="V938" s="10"/>
      <c r="W938" s="10"/>
      <c r="X938" s="10"/>
      <c r="Y938" s="10"/>
    </row>
    <row r="939">
      <c r="A939" s="10" t="s">
        <v>5823</v>
      </c>
      <c r="B939" s="11">
        <v>1902794.0</v>
      </c>
      <c r="C939" s="10" t="s">
        <v>20</v>
      </c>
      <c r="D939" s="9" t="s">
        <v>5824</v>
      </c>
      <c r="E939" s="10"/>
      <c r="F939" s="10"/>
      <c r="G939" s="11">
        <v>1902794.0</v>
      </c>
      <c r="H939" s="10" t="s">
        <v>5825</v>
      </c>
      <c r="I939" s="10" t="s">
        <v>5826</v>
      </c>
      <c r="J939" s="10" t="s">
        <v>5827</v>
      </c>
      <c r="K939" s="10"/>
      <c r="L939" s="10" t="s">
        <v>5827</v>
      </c>
      <c r="M939" s="11">
        <v>2023.0</v>
      </c>
      <c r="N939" s="10"/>
      <c r="O939" s="10"/>
      <c r="P939" s="11">
        <v>8742.0</v>
      </c>
      <c r="Q939" s="10"/>
      <c r="R939" s="11">
        <v>5.0</v>
      </c>
      <c r="S939" s="10"/>
      <c r="T939" s="10"/>
      <c r="U939" s="10"/>
      <c r="V939" s="10"/>
      <c r="W939" s="10"/>
      <c r="X939" s="10"/>
      <c r="Y939" s="10"/>
    </row>
    <row r="940">
      <c r="A940" s="10" t="s">
        <v>5828</v>
      </c>
      <c r="B940" s="11">
        <v>1018705.0</v>
      </c>
      <c r="C940" s="10" t="s">
        <v>20</v>
      </c>
      <c r="D940" s="9" t="s">
        <v>5829</v>
      </c>
      <c r="E940" s="10"/>
      <c r="F940" s="10"/>
      <c r="G940" s="10"/>
      <c r="H940" s="10" t="s">
        <v>5830</v>
      </c>
      <c r="I940" s="10" t="s">
        <v>5831</v>
      </c>
      <c r="J940" s="10" t="s">
        <v>5832</v>
      </c>
      <c r="K940" s="10"/>
      <c r="L940" s="10" t="s">
        <v>5832</v>
      </c>
      <c r="M940" s="11">
        <v>1999.0</v>
      </c>
      <c r="N940" s="10"/>
      <c r="O940" s="10"/>
      <c r="P940" s="11">
        <v>7373.0</v>
      </c>
      <c r="Q940" s="10"/>
      <c r="R940" s="11">
        <v>12.0</v>
      </c>
      <c r="S940" s="10"/>
      <c r="T940" s="10"/>
      <c r="U940" s="10"/>
      <c r="V940" s="10"/>
      <c r="W940" s="10"/>
      <c r="X940" s="10"/>
      <c r="Y940" s="10"/>
    </row>
    <row r="941">
      <c r="A941" s="10" t="s">
        <v>5833</v>
      </c>
      <c r="B941" s="11">
        <v>939730.0</v>
      </c>
      <c r="C941" s="10" t="s">
        <v>20</v>
      </c>
      <c r="D941" s="9" t="s">
        <v>5834</v>
      </c>
      <c r="E941" s="10" t="s">
        <v>5835</v>
      </c>
      <c r="F941" s="11">
        <v>939730.0</v>
      </c>
      <c r="G941" s="10"/>
      <c r="H941" s="10" t="s">
        <v>5836</v>
      </c>
      <c r="I941" s="10" t="s">
        <v>5837</v>
      </c>
      <c r="J941" s="10" t="s">
        <v>5838</v>
      </c>
      <c r="K941" s="10" t="s">
        <v>5839</v>
      </c>
      <c r="L941" s="10"/>
      <c r="M941" s="11">
        <v>1995.0</v>
      </c>
      <c r="N941" s="10" t="s">
        <v>5840</v>
      </c>
      <c r="O941" s="10" t="s">
        <v>5840</v>
      </c>
      <c r="P941" s="11">
        <v>7372.0</v>
      </c>
      <c r="Q941" s="11">
        <v>7372.0</v>
      </c>
      <c r="R941" s="11">
        <v>12.0</v>
      </c>
      <c r="S941" s="10"/>
      <c r="T941" s="10"/>
      <c r="U941" s="10"/>
      <c r="V941" s="10"/>
      <c r="W941" s="10"/>
      <c r="X941" s="10"/>
      <c r="Y941" s="10"/>
    </row>
    <row r="942">
      <c r="A942" s="10" t="s">
        <v>5841</v>
      </c>
      <c r="B942" s="11">
        <v>1005757.0</v>
      </c>
      <c r="C942" s="10" t="s">
        <v>20</v>
      </c>
      <c r="D942" s="9" t="s">
        <v>5842</v>
      </c>
      <c r="E942" s="10" t="s">
        <v>5843</v>
      </c>
      <c r="F942" s="11">
        <v>1005757.0</v>
      </c>
      <c r="G942" s="11">
        <v>1005757.0</v>
      </c>
      <c r="H942" s="10" t="s">
        <v>5844</v>
      </c>
      <c r="I942" s="10" t="s">
        <v>5845</v>
      </c>
      <c r="J942" s="10" t="s">
        <v>5846</v>
      </c>
      <c r="K942" s="10" t="s">
        <v>5846</v>
      </c>
      <c r="L942" s="10" t="s">
        <v>5846</v>
      </c>
      <c r="M942" s="11">
        <v>1996.0</v>
      </c>
      <c r="N942" s="10" t="s">
        <v>1939</v>
      </c>
      <c r="O942" s="10" t="s">
        <v>1939</v>
      </c>
      <c r="P942" s="11">
        <v>7374.0</v>
      </c>
      <c r="Q942" s="11">
        <v>7374.0</v>
      </c>
      <c r="R942" s="11">
        <v>15.0</v>
      </c>
      <c r="S942" s="10"/>
      <c r="T942" s="10"/>
      <c r="U942" s="10"/>
      <c r="V942" s="10"/>
      <c r="W942" s="10"/>
      <c r="X942" s="10"/>
      <c r="Y942" s="10"/>
    </row>
    <row r="943">
      <c r="A943" s="10" t="s">
        <v>5847</v>
      </c>
      <c r="B943" s="11">
        <v>945256.0</v>
      </c>
      <c r="C943" s="10" t="s">
        <v>20</v>
      </c>
      <c r="D943" s="9" t="s">
        <v>5848</v>
      </c>
      <c r="E943" s="10" t="s">
        <v>5849</v>
      </c>
      <c r="F943" s="11">
        <v>945256.0</v>
      </c>
      <c r="G943" s="10"/>
      <c r="H943" s="10" t="s">
        <v>5850</v>
      </c>
      <c r="I943" s="10" t="s">
        <v>5851</v>
      </c>
      <c r="J943" s="10" t="s">
        <v>5852</v>
      </c>
      <c r="K943" s="10" t="s">
        <v>5853</v>
      </c>
      <c r="L943" s="10" t="s">
        <v>5852</v>
      </c>
      <c r="M943" s="11">
        <v>1995.0</v>
      </c>
      <c r="N943" s="10" t="s">
        <v>5854</v>
      </c>
      <c r="O943" s="10" t="s">
        <v>5854</v>
      </c>
      <c r="P943" s="11">
        <v>7372.0</v>
      </c>
      <c r="Q943" s="11">
        <v>7372.0</v>
      </c>
      <c r="R943" s="11">
        <v>17.0</v>
      </c>
      <c r="S943" s="10"/>
      <c r="T943" s="10"/>
      <c r="U943" s="10"/>
      <c r="V943" s="10"/>
      <c r="W943" s="10"/>
      <c r="X943" s="10"/>
      <c r="Y943" s="10"/>
    </row>
    <row r="944">
      <c r="A944" s="10" t="s">
        <v>5855</v>
      </c>
      <c r="B944" s="11">
        <v>1372791.0</v>
      </c>
      <c r="C944" s="8" t="s">
        <v>762</v>
      </c>
      <c r="D944" s="9" t="s">
        <v>5856</v>
      </c>
      <c r="E944" s="10" t="s">
        <v>5857</v>
      </c>
      <c r="F944" s="11">
        <v>1372791.0</v>
      </c>
      <c r="G944" s="10"/>
      <c r="H944" s="10" t="s">
        <v>5858</v>
      </c>
      <c r="I944" s="10" t="s">
        <v>5859</v>
      </c>
      <c r="J944" s="10" t="s">
        <v>5860</v>
      </c>
      <c r="K944" s="10" t="s">
        <v>5861</v>
      </c>
      <c r="L944" s="10" t="s">
        <v>5860</v>
      </c>
      <c r="M944" s="11">
        <v>2006.0</v>
      </c>
      <c r="N944" s="10" t="s">
        <v>3883</v>
      </c>
      <c r="O944" s="10" t="s">
        <v>3883</v>
      </c>
      <c r="P944" s="11">
        <v>6022.0</v>
      </c>
      <c r="Q944" s="11">
        <v>6020.0</v>
      </c>
      <c r="R944" s="11">
        <v>16.5</v>
      </c>
      <c r="S944" s="10"/>
      <c r="T944" s="10"/>
      <c r="U944" s="10"/>
      <c r="V944" s="10"/>
      <c r="W944" s="10"/>
      <c r="X944" s="10"/>
      <c r="Y944" s="10"/>
    </row>
    <row r="945">
      <c r="A945" s="10" t="s">
        <v>5862</v>
      </c>
      <c r="B945" s="11">
        <v>1102643.0</v>
      </c>
      <c r="C945" s="8" t="s">
        <v>762</v>
      </c>
      <c r="D945" s="9" t="s">
        <v>5863</v>
      </c>
      <c r="E945" s="10" t="s">
        <v>5864</v>
      </c>
      <c r="F945" s="11">
        <v>1102643.0</v>
      </c>
      <c r="G945" s="10"/>
      <c r="H945" s="10" t="s">
        <v>5865</v>
      </c>
      <c r="I945" s="10" t="s">
        <v>5866</v>
      </c>
      <c r="J945" s="10" t="s">
        <v>5867</v>
      </c>
      <c r="K945" s="10" t="s">
        <v>5867</v>
      </c>
      <c r="L945" s="10" t="s">
        <v>5867</v>
      </c>
      <c r="M945" s="11">
        <v>2002.0</v>
      </c>
      <c r="N945" s="10" t="s">
        <v>5868</v>
      </c>
      <c r="O945" s="10" t="s">
        <v>5868</v>
      </c>
      <c r="P945" s="11">
        <v>6321.0</v>
      </c>
      <c r="Q945" s="11">
        <v>6411.0</v>
      </c>
      <c r="R945" s="11">
        <v>10.0</v>
      </c>
      <c r="S945" s="10"/>
      <c r="T945" s="10"/>
      <c r="U945" s="10"/>
      <c r="V945" s="10"/>
      <c r="W945" s="10"/>
      <c r="X945" s="10"/>
      <c r="Y945" s="10"/>
    </row>
    <row r="946">
      <c r="A946" s="10" t="s">
        <v>5869</v>
      </c>
      <c r="B946" s="11">
        <v>945989.0</v>
      </c>
      <c r="C946" s="10" t="s">
        <v>20</v>
      </c>
      <c r="D946" s="9" t="s">
        <v>5870</v>
      </c>
      <c r="E946" s="10" t="s">
        <v>5871</v>
      </c>
      <c r="F946" s="11">
        <v>945989.0</v>
      </c>
      <c r="G946" s="10"/>
      <c r="H946" s="10" t="s">
        <v>5872</v>
      </c>
      <c r="I946" s="10" t="s">
        <v>5873</v>
      </c>
      <c r="J946" s="10" t="s">
        <v>5874</v>
      </c>
      <c r="K946" s="10" t="s">
        <v>5874</v>
      </c>
      <c r="L946" s="10"/>
      <c r="M946" s="11">
        <v>1995.0</v>
      </c>
      <c r="N946" s="10" t="s">
        <v>5875</v>
      </c>
      <c r="O946" s="10" t="s">
        <v>5875</v>
      </c>
      <c r="P946" s="11">
        <v>7372.0</v>
      </c>
      <c r="Q946" s="11">
        <v>7372.0</v>
      </c>
      <c r="R946" s="11">
        <v>15.0</v>
      </c>
      <c r="S946" s="10"/>
      <c r="T946" s="10"/>
      <c r="U946" s="10"/>
      <c r="V946" s="10"/>
      <c r="W946" s="10"/>
      <c r="X946" s="10"/>
      <c r="Y946" s="10"/>
    </row>
    <row r="947">
      <c r="A947" s="10" t="s">
        <v>5876</v>
      </c>
      <c r="B947" s="11">
        <v>1637873.0</v>
      </c>
      <c r="C947" s="10" t="s">
        <v>20</v>
      </c>
      <c r="D947" s="9" t="s">
        <v>5877</v>
      </c>
      <c r="E947" s="10" t="s">
        <v>5878</v>
      </c>
      <c r="F947" s="11">
        <v>1637873.0</v>
      </c>
      <c r="G947" s="11">
        <v>1637873.0</v>
      </c>
      <c r="H947" s="10" t="s">
        <v>5879</v>
      </c>
      <c r="I947" s="10" t="s">
        <v>5880</v>
      </c>
      <c r="J947" s="10" t="s">
        <v>5881</v>
      </c>
      <c r="K947" s="10" t="s">
        <v>5881</v>
      </c>
      <c r="L947" s="10" t="s">
        <v>5881</v>
      </c>
      <c r="M947" s="11">
        <v>2021.0</v>
      </c>
      <c r="N947" s="10" t="s">
        <v>2729</v>
      </c>
      <c r="O947" s="10" t="s">
        <v>2729</v>
      </c>
      <c r="P947" s="11">
        <v>7379.0</v>
      </c>
      <c r="Q947" s="11">
        <v>5010.0</v>
      </c>
      <c r="R947" s="11">
        <v>25.0</v>
      </c>
      <c r="S947" s="10"/>
      <c r="T947" s="10"/>
      <c r="U947" s="10"/>
      <c r="V947" s="10"/>
      <c r="W947" s="10"/>
      <c r="X947" s="10"/>
      <c r="Y947" s="10"/>
    </row>
    <row r="948">
      <c r="A948" s="10" t="s">
        <v>5882</v>
      </c>
      <c r="B948" s="11">
        <v>1035770.0</v>
      </c>
      <c r="C948" s="8" t="s">
        <v>762</v>
      </c>
      <c r="D948" s="9" t="s">
        <v>5883</v>
      </c>
      <c r="E948" s="10" t="s">
        <v>5884</v>
      </c>
      <c r="F948" s="11">
        <v>1035770.0</v>
      </c>
      <c r="G948" s="10"/>
      <c r="H948" s="10" t="s">
        <v>5885</v>
      </c>
      <c r="I948" s="10" t="s">
        <v>5886</v>
      </c>
      <c r="J948" s="10" t="s">
        <v>5887</v>
      </c>
      <c r="K948" s="10" t="s">
        <v>5887</v>
      </c>
      <c r="L948" s="10" t="s">
        <v>5887</v>
      </c>
      <c r="M948" s="11">
        <v>1998.0</v>
      </c>
      <c r="N948" s="10" t="s">
        <v>5888</v>
      </c>
      <c r="O948" s="10" t="s">
        <v>5888</v>
      </c>
      <c r="P948" s="11">
        <v>6022.0</v>
      </c>
      <c r="Q948" s="11">
        <v>6020.0</v>
      </c>
      <c r="R948" s="11">
        <v>12.0</v>
      </c>
      <c r="S948" s="10"/>
      <c r="T948" s="10"/>
      <c r="U948" s="10"/>
      <c r="V948" s="10"/>
      <c r="W948" s="10"/>
      <c r="X948" s="10"/>
      <c r="Y948" s="10"/>
    </row>
    <row r="949">
      <c r="A949" s="10" t="s">
        <v>5889</v>
      </c>
      <c r="B949" s="11">
        <v>1024464.0</v>
      </c>
      <c r="C949" s="10" t="s">
        <v>20</v>
      </c>
      <c r="D949" s="9" t="s">
        <v>5890</v>
      </c>
      <c r="E949" s="10"/>
      <c r="F949" s="10"/>
      <c r="G949" s="10"/>
      <c r="H949" s="10" t="s">
        <v>5891</v>
      </c>
      <c r="I949" s="10" t="s">
        <v>5892</v>
      </c>
      <c r="J949" s="10" t="s">
        <v>5893</v>
      </c>
      <c r="K949" s="10"/>
      <c r="L949" s="10" t="s">
        <v>5893</v>
      </c>
      <c r="M949" s="11">
        <v>1997.0</v>
      </c>
      <c r="N949" s="10"/>
      <c r="O949" s="10"/>
      <c r="P949" s="11">
        <v>8734.0</v>
      </c>
      <c r="Q949" s="10"/>
      <c r="R949" s="11">
        <v>6.0</v>
      </c>
      <c r="S949" s="10"/>
      <c r="T949" s="10"/>
      <c r="U949" s="10"/>
      <c r="V949" s="10"/>
      <c r="W949" s="10"/>
      <c r="X949" s="10"/>
      <c r="Y949" s="10"/>
    </row>
    <row r="950">
      <c r="A950" s="10" t="s">
        <v>5894</v>
      </c>
      <c r="B950" s="11">
        <v>1398659.0</v>
      </c>
      <c r="C950" s="10" t="s">
        <v>20</v>
      </c>
      <c r="D950" s="9" t="s">
        <v>5895</v>
      </c>
      <c r="E950" s="10" t="s">
        <v>5896</v>
      </c>
      <c r="F950" s="11">
        <v>1398659.0</v>
      </c>
      <c r="G950" s="11">
        <v>1398659.0</v>
      </c>
      <c r="H950" s="10" t="s">
        <v>5897</v>
      </c>
      <c r="I950" s="10" t="s">
        <v>5898</v>
      </c>
      <c r="J950" s="10" t="s">
        <v>5899</v>
      </c>
      <c r="K950" s="10" t="s">
        <v>5899</v>
      </c>
      <c r="L950" s="10" t="s">
        <v>5899</v>
      </c>
      <c r="M950" s="11">
        <v>2007.0</v>
      </c>
      <c r="N950" s="10" t="s">
        <v>5900</v>
      </c>
      <c r="O950" s="10" t="s">
        <v>5900</v>
      </c>
      <c r="P950" s="11">
        <v>8742.0</v>
      </c>
      <c r="Q950" s="11">
        <v>7374.0</v>
      </c>
      <c r="R950" s="11">
        <v>14.0</v>
      </c>
      <c r="S950" s="10"/>
      <c r="T950" s="10"/>
      <c r="U950" s="10"/>
      <c r="V950" s="10"/>
      <c r="W950" s="10"/>
      <c r="X950" s="10"/>
      <c r="Y950" s="10"/>
    </row>
    <row r="951">
      <c r="A951" s="10" t="s">
        <v>5901</v>
      </c>
      <c r="B951" s="11">
        <v>1419625.0</v>
      </c>
      <c r="C951" s="10" t="s">
        <v>20</v>
      </c>
      <c r="D951" s="9" t="s">
        <v>5902</v>
      </c>
      <c r="E951" s="10" t="s">
        <v>5903</v>
      </c>
      <c r="F951" s="11">
        <v>1419625.0</v>
      </c>
      <c r="G951" s="10"/>
      <c r="H951" s="10" t="s">
        <v>5904</v>
      </c>
      <c r="I951" s="10" t="s">
        <v>5905</v>
      </c>
      <c r="J951" s="10" t="s">
        <v>5906</v>
      </c>
      <c r="K951" s="10" t="s">
        <v>5906</v>
      </c>
      <c r="L951" s="10" t="s">
        <v>5906</v>
      </c>
      <c r="M951" s="11">
        <v>2016.0</v>
      </c>
      <c r="N951" s="10" t="s">
        <v>5907</v>
      </c>
      <c r="O951" s="10" t="s">
        <v>5907</v>
      </c>
      <c r="P951" s="11">
        <v>7372.0</v>
      </c>
      <c r="Q951" s="11">
        <v>7370.0</v>
      </c>
      <c r="R951" s="11">
        <v>16.0</v>
      </c>
      <c r="S951" s="10"/>
      <c r="T951" s="10"/>
      <c r="U951" s="10"/>
      <c r="V951" s="10"/>
      <c r="W951" s="10"/>
      <c r="X951" s="10"/>
      <c r="Y951" s="10"/>
    </row>
    <row r="952">
      <c r="A952" s="10" t="s">
        <v>5908</v>
      </c>
      <c r="B952" s="11">
        <v>1082000.0</v>
      </c>
      <c r="C952" s="10" t="s">
        <v>20</v>
      </c>
      <c r="D952" s="9" t="s">
        <v>5909</v>
      </c>
      <c r="E952" s="10" t="s">
        <v>5910</v>
      </c>
      <c r="F952" s="11">
        <v>1082000.0</v>
      </c>
      <c r="G952" s="10"/>
      <c r="H952" s="10" t="s">
        <v>5911</v>
      </c>
      <c r="I952" s="10" t="s">
        <v>5912</v>
      </c>
      <c r="J952" s="10" t="s">
        <v>5913</v>
      </c>
      <c r="K952" s="10" t="s">
        <v>5914</v>
      </c>
      <c r="L952" s="10" t="s">
        <v>5915</v>
      </c>
      <c r="M952" s="11">
        <v>1999.0</v>
      </c>
      <c r="N952" s="10" t="s">
        <v>5916</v>
      </c>
      <c r="O952" s="10" t="s">
        <v>5916</v>
      </c>
      <c r="P952" s="11">
        <v>7374.0</v>
      </c>
      <c r="Q952" s="11">
        <v>7370.0</v>
      </c>
      <c r="R952" s="11">
        <v>18.0</v>
      </c>
      <c r="S952" s="10"/>
      <c r="T952" s="10"/>
      <c r="U952" s="10"/>
      <c r="V952" s="10"/>
      <c r="W952" s="10"/>
      <c r="X952" s="10"/>
      <c r="Y952" s="10"/>
    </row>
    <row r="953">
      <c r="A953" s="10" t="s">
        <v>5917</v>
      </c>
      <c r="B953" s="11">
        <v>1095277.0</v>
      </c>
      <c r="C953" s="10" t="s">
        <v>20</v>
      </c>
      <c r="D953" s="9" t="s">
        <v>5918</v>
      </c>
      <c r="E953" s="10" t="s">
        <v>5919</v>
      </c>
      <c r="F953" s="11">
        <v>1095277.0</v>
      </c>
      <c r="G953" s="10"/>
      <c r="H953" s="10" t="s">
        <v>5920</v>
      </c>
      <c r="I953" s="10" t="s">
        <v>5921</v>
      </c>
      <c r="J953" s="10" t="s">
        <v>5922</v>
      </c>
      <c r="K953" s="10" t="s">
        <v>5922</v>
      </c>
      <c r="L953" s="10" t="s">
        <v>5922</v>
      </c>
      <c r="M953" s="11">
        <v>2004.0</v>
      </c>
      <c r="N953" s="10"/>
      <c r="O953" s="10"/>
      <c r="P953" s="11">
        <v>6141.0</v>
      </c>
      <c r="Q953" s="11">
        <v>7323.0</v>
      </c>
      <c r="R953" s="11">
        <v>17.0</v>
      </c>
      <c r="S953" s="10"/>
      <c r="T953" s="10"/>
      <c r="U953" s="10"/>
      <c r="V953" s="10"/>
      <c r="W953" s="10"/>
      <c r="X953" s="10"/>
      <c r="Y953" s="10"/>
    </row>
    <row r="954">
      <c r="A954" s="10" t="s">
        <v>5923</v>
      </c>
      <c r="B954" s="11">
        <v>1447362.0</v>
      </c>
      <c r="C954" s="10" t="s">
        <v>20</v>
      </c>
      <c r="D954" s="9" t="s">
        <v>5924</v>
      </c>
      <c r="E954" s="10" t="s">
        <v>5925</v>
      </c>
      <c r="F954" s="11">
        <v>1447362.0</v>
      </c>
      <c r="G954" s="11">
        <v>1447362.0</v>
      </c>
      <c r="H954" s="10" t="s">
        <v>5926</v>
      </c>
      <c r="I954" s="10" t="s">
        <v>5927</v>
      </c>
      <c r="J954" s="10" t="s">
        <v>5928</v>
      </c>
      <c r="K954" s="10" t="s">
        <v>5928</v>
      </c>
      <c r="L954" s="10" t="s">
        <v>5928</v>
      </c>
      <c r="M954" s="11">
        <v>2019.0</v>
      </c>
      <c r="N954" s="10" t="s">
        <v>5929</v>
      </c>
      <c r="O954" s="10" t="s">
        <v>5929</v>
      </c>
      <c r="P954" s="11">
        <v>8731.0</v>
      </c>
      <c r="Q954" s="11">
        <v>8071.0</v>
      </c>
      <c r="R954" s="11">
        <v>16.0</v>
      </c>
      <c r="S954" s="10"/>
      <c r="T954" s="10"/>
      <c r="U954" s="10"/>
      <c r="V954" s="10"/>
      <c r="W954" s="10"/>
      <c r="X954" s="10"/>
      <c r="Y954" s="10"/>
    </row>
    <row r="955">
      <c r="A955" s="10" t="s">
        <v>5930</v>
      </c>
      <c r="B955" s="11">
        <v>1075530.0</v>
      </c>
      <c r="C955" s="8" t="s">
        <v>762</v>
      </c>
      <c r="D955" s="9" t="s">
        <v>5931</v>
      </c>
      <c r="E955" s="10" t="s">
        <v>5932</v>
      </c>
      <c r="F955" s="11">
        <v>1075530.0</v>
      </c>
      <c r="G955" s="10"/>
      <c r="H955" s="10" t="s">
        <v>5933</v>
      </c>
      <c r="I955" s="10" t="s">
        <v>5934</v>
      </c>
      <c r="J955" s="10" t="s">
        <v>5935</v>
      </c>
      <c r="K955" s="10" t="s">
        <v>5936</v>
      </c>
      <c r="L955" s="10" t="s">
        <v>5935</v>
      </c>
      <c r="M955" s="11">
        <v>1999.0</v>
      </c>
      <c r="N955" s="10" t="s">
        <v>5937</v>
      </c>
      <c r="O955" s="10" t="s">
        <v>5937</v>
      </c>
      <c r="P955" s="11">
        <v>7375.0</v>
      </c>
      <c r="Q955" s="11">
        <v>7370.0</v>
      </c>
      <c r="R955" s="11">
        <v>22.0</v>
      </c>
      <c r="S955" s="10"/>
      <c r="T955" s="10"/>
      <c r="U955" s="10"/>
      <c r="V955" s="10"/>
      <c r="W955" s="10"/>
      <c r="X955" s="10"/>
      <c r="Y955" s="10"/>
    </row>
    <row r="956">
      <c r="A956" s="10" t="s">
        <v>5938</v>
      </c>
      <c r="B956" s="11">
        <v>1609151.0</v>
      </c>
      <c r="C956" s="10" t="s">
        <v>20</v>
      </c>
      <c r="D956" s="9" t="s">
        <v>5939</v>
      </c>
      <c r="E956" s="10" t="s">
        <v>5940</v>
      </c>
      <c r="F956" s="11">
        <v>1609151.0</v>
      </c>
      <c r="G956" s="11">
        <v>1609151.0</v>
      </c>
      <c r="H956" s="10" t="s">
        <v>5941</v>
      </c>
      <c r="I956" s="10" t="s">
        <v>5942</v>
      </c>
      <c r="J956" s="10" t="s">
        <v>5943</v>
      </c>
      <c r="K956" s="10" t="s">
        <v>5943</v>
      </c>
      <c r="L956" s="10" t="s">
        <v>5943</v>
      </c>
      <c r="M956" s="11">
        <v>2021.0</v>
      </c>
      <c r="N956" s="10" t="s">
        <v>5944</v>
      </c>
      <c r="O956" s="10" t="s">
        <v>5944</v>
      </c>
      <c r="P956" s="11">
        <v>7376.0</v>
      </c>
      <c r="Q956" s="11">
        <v>7370.0</v>
      </c>
      <c r="R956" s="11">
        <v>24.0</v>
      </c>
      <c r="S956" s="10"/>
      <c r="T956" s="10"/>
      <c r="U956" s="10"/>
      <c r="V956" s="10"/>
      <c r="W956" s="10"/>
      <c r="X956" s="10"/>
      <c r="Y956" s="10"/>
    </row>
    <row r="957">
      <c r="A957" s="10" t="s">
        <v>5945</v>
      </c>
      <c r="B957" s="11">
        <v>1084329.0</v>
      </c>
      <c r="C957" s="10" t="s">
        <v>20</v>
      </c>
      <c r="D957" s="9" t="s">
        <v>5946</v>
      </c>
      <c r="E957" s="10" t="s">
        <v>5947</v>
      </c>
      <c r="F957" s="11">
        <v>1084329.0</v>
      </c>
      <c r="G957" s="10"/>
      <c r="H957" s="10" t="s">
        <v>5948</v>
      </c>
      <c r="I957" s="10" t="s">
        <v>5949</v>
      </c>
      <c r="J957" s="10" t="s">
        <v>5950</v>
      </c>
      <c r="K957" s="10" t="s">
        <v>5951</v>
      </c>
      <c r="L957" s="10" t="s">
        <v>5950</v>
      </c>
      <c r="M957" s="11">
        <v>1999.0</v>
      </c>
      <c r="N957" s="10" t="s">
        <v>4887</v>
      </c>
      <c r="O957" s="10" t="s">
        <v>4887</v>
      </c>
      <c r="P957" s="11">
        <v>7375.0</v>
      </c>
      <c r="Q957" s="11">
        <v>7385.0</v>
      </c>
      <c r="R957" s="11">
        <v>10.0</v>
      </c>
      <c r="S957" s="10"/>
      <c r="T957" s="10"/>
      <c r="U957" s="10"/>
      <c r="V957" s="10"/>
      <c r="W957" s="10"/>
      <c r="X957" s="10"/>
      <c r="Y957" s="10"/>
    </row>
    <row r="958">
      <c r="A958" s="10" t="s">
        <v>5952</v>
      </c>
      <c r="B958" s="11">
        <v>1112422.0</v>
      </c>
      <c r="C958" s="10" t="s">
        <v>20</v>
      </c>
      <c r="D958" s="9" t="s">
        <v>5953</v>
      </c>
      <c r="E958" s="10" t="s">
        <v>5954</v>
      </c>
      <c r="F958" s="11">
        <v>1112422.0</v>
      </c>
      <c r="G958" s="10"/>
      <c r="H958" s="10" t="s">
        <v>5955</v>
      </c>
      <c r="I958" s="10" t="s">
        <v>5956</v>
      </c>
      <c r="J958" s="10" t="s">
        <v>5957</v>
      </c>
      <c r="K958" s="10" t="s">
        <v>5958</v>
      </c>
      <c r="L958" s="10" t="s">
        <v>5957</v>
      </c>
      <c r="M958" s="11">
        <v>2004.0</v>
      </c>
      <c r="N958" s="10" t="s">
        <v>5959</v>
      </c>
      <c r="O958" s="10" t="s">
        <v>5959</v>
      </c>
      <c r="P958" s="11">
        <v>7372.0</v>
      </c>
      <c r="Q958" s="11">
        <v>7372.0</v>
      </c>
      <c r="R958" s="11">
        <v>10.0</v>
      </c>
      <c r="S958" s="10"/>
      <c r="T958" s="10"/>
      <c r="U958" s="10"/>
      <c r="V958" s="10"/>
      <c r="W958" s="10"/>
      <c r="X958" s="10"/>
      <c r="Y958" s="10"/>
    </row>
    <row r="959">
      <c r="A959" s="10" t="s">
        <v>5960</v>
      </c>
      <c r="B959" s="11">
        <v>1065078.0</v>
      </c>
      <c r="C959" s="10" t="s">
        <v>20</v>
      </c>
      <c r="D959" s="9" t="s">
        <v>5961</v>
      </c>
      <c r="E959" s="10" t="s">
        <v>5962</v>
      </c>
      <c r="F959" s="11">
        <v>1065078.0</v>
      </c>
      <c r="G959" s="10"/>
      <c r="H959" s="10" t="s">
        <v>5963</v>
      </c>
      <c r="I959" s="10" t="s">
        <v>5964</v>
      </c>
      <c r="J959" s="10" t="s">
        <v>5965</v>
      </c>
      <c r="K959" s="10" t="s">
        <v>5966</v>
      </c>
      <c r="L959" s="10" t="s">
        <v>5965</v>
      </c>
      <c r="M959" s="11">
        <v>1998.0</v>
      </c>
      <c r="N959" s="10" t="s">
        <v>5967</v>
      </c>
      <c r="O959" s="10" t="s">
        <v>5967</v>
      </c>
      <c r="P959" s="11">
        <v>7372.0</v>
      </c>
      <c r="Q959" s="11">
        <v>6794.0</v>
      </c>
      <c r="R959" s="11">
        <v>6.0</v>
      </c>
      <c r="S959" s="10"/>
      <c r="T959" s="10"/>
      <c r="U959" s="10"/>
      <c r="V959" s="10"/>
      <c r="W959" s="10"/>
      <c r="X959" s="10"/>
      <c r="Y959" s="10"/>
    </row>
    <row r="960">
      <c r="A960" s="10" t="s">
        <v>5968</v>
      </c>
      <c r="B960" s="11">
        <v>1057507.0</v>
      </c>
      <c r="C960" s="10" t="s">
        <v>20</v>
      </c>
      <c r="D960" s="9" t="s">
        <v>5969</v>
      </c>
      <c r="E960" s="10" t="s">
        <v>5970</v>
      </c>
      <c r="F960" s="11">
        <v>1057507.0</v>
      </c>
      <c r="G960" s="10"/>
      <c r="H960" s="10" t="s">
        <v>5971</v>
      </c>
      <c r="I960" s="10" t="s">
        <v>5972</v>
      </c>
      <c r="J960" s="10" t="s">
        <v>5973</v>
      </c>
      <c r="K960" s="10" t="s">
        <v>5973</v>
      </c>
      <c r="L960" s="10" t="s">
        <v>5973</v>
      </c>
      <c r="M960" s="11">
        <v>1998.0</v>
      </c>
      <c r="N960" s="10" t="s">
        <v>5974</v>
      </c>
      <c r="O960" s="10" t="s">
        <v>5974</v>
      </c>
      <c r="P960" s="11">
        <v>6531.0</v>
      </c>
      <c r="Q960" s="11">
        <v>6531.0</v>
      </c>
      <c r="R960" s="11">
        <v>11.0</v>
      </c>
      <c r="S960" s="10"/>
      <c r="T960" s="10"/>
      <c r="U960" s="10"/>
      <c r="V960" s="10"/>
      <c r="W960" s="10"/>
      <c r="X960" s="10"/>
      <c r="Y960" s="10"/>
    </row>
    <row r="961">
      <c r="A961" s="10" t="s">
        <v>5975</v>
      </c>
      <c r="B961" s="11">
        <v>1008129.0</v>
      </c>
      <c r="C961" s="10" t="s">
        <v>20</v>
      </c>
      <c r="D961" s="9" t="s">
        <v>5976</v>
      </c>
      <c r="E961" s="10" t="s">
        <v>5977</v>
      </c>
      <c r="F961" s="11">
        <v>1008129.0</v>
      </c>
      <c r="G961" s="10"/>
      <c r="H961" s="10" t="s">
        <v>5978</v>
      </c>
      <c r="I961" s="10" t="s">
        <v>5979</v>
      </c>
      <c r="J961" s="10" t="s">
        <v>5980</v>
      </c>
      <c r="K961" s="10" t="s">
        <v>5981</v>
      </c>
      <c r="L961" s="10" t="s">
        <v>5980</v>
      </c>
      <c r="M961" s="11">
        <v>1996.0</v>
      </c>
      <c r="N961" s="10" t="s">
        <v>2562</v>
      </c>
      <c r="O961" s="10" t="s">
        <v>2562</v>
      </c>
      <c r="P961" s="11">
        <v>7372.0</v>
      </c>
      <c r="Q961" s="11">
        <v>7372.0</v>
      </c>
      <c r="R961" s="11">
        <v>17.0</v>
      </c>
      <c r="S961" s="10"/>
      <c r="T961" s="10"/>
      <c r="U961" s="10"/>
      <c r="V961" s="10"/>
      <c r="W961" s="10"/>
      <c r="X961" s="10"/>
      <c r="Y961" s="10"/>
    </row>
    <row r="962">
      <c r="A962" s="10" t="s">
        <v>5982</v>
      </c>
      <c r="B962" s="11">
        <v>1028339.0</v>
      </c>
      <c r="C962" s="10" t="s">
        <v>20</v>
      </c>
      <c r="D962" s="9" t="s">
        <v>5983</v>
      </c>
      <c r="E962" s="10" t="s">
        <v>5984</v>
      </c>
      <c r="F962" s="11">
        <v>1028339.0</v>
      </c>
      <c r="G962" s="11">
        <v>87050.0</v>
      </c>
      <c r="H962" s="10" t="s">
        <v>5985</v>
      </c>
      <c r="I962" s="10" t="s">
        <v>5986</v>
      </c>
      <c r="J962" s="10" t="s">
        <v>5987</v>
      </c>
      <c r="K962" s="10" t="s">
        <v>5988</v>
      </c>
      <c r="L962" s="10" t="s">
        <v>5987</v>
      </c>
      <c r="M962" s="11">
        <v>1997.0</v>
      </c>
      <c r="N962" s="10" t="s">
        <v>5989</v>
      </c>
      <c r="O962" s="10" t="s">
        <v>5989</v>
      </c>
      <c r="P962" s="11">
        <v>7371.0</v>
      </c>
      <c r="Q962" s="11">
        <v>7372.0</v>
      </c>
      <c r="R962" s="11">
        <v>12.0</v>
      </c>
      <c r="S962" s="10"/>
      <c r="T962" s="10"/>
      <c r="U962" s="10"/>
      <c r="V962" s="10"/>
      <c r="W962" s="10"/>
      <c r="X962" s="10"/>
      <c r="Y962" s="10"/>
    </row>
    <row r="963">
      <c r="A963" s="10" t="s">
        <v>5990</v>
      </c>
      <c r="B963" s="11">
        <v>1295334.0</v>
      </c>
      <c r="C963" s="8" t="s">
        <v>762</v>
      </c>
      <c r="D963" s="9" t="s">
        <v>5991</v>
      </c>
      <c r="E963" s="10" t="s">
        <v>5992</v>
      </c>
      <c r="F963" s="11">
        <v>1295334.0</v>
      </c>
      <c r="G963" s="10"/>
      <c r="H963" s="10" t="s">
        <v>5993</v>
      </c>
      <c r="I963" s="10" t="s">
        <v>5994</v>
      </c>
      <c r="J963" s="10" t="s">
        <v>5995</v>
      </c>
      <c r="K963" s="10" t="s">
        <v>5995</v>
      </c>
      <c r="L963" s="10" t="s">
        <v>5995</v>
      </c>
      <c r="M963" s="11">
        <v>2004.0</v>
      </c>
      <c r="N963" s="10" t="s">
        <v>5996</v>
      </c>
      <c r="O963" s="10" t="s">
        <v>5996</v>
      </c>
      <c r="P963" s="11">
        <v>6712.0</v>
      </c>
      <c r="Q963" s="11">
        <v>6020.0</v>
      </c>
      <c r="R963" s="11">
        <v>18.0</v>
      </c>
      <c r="S963" s="10"/>
      <c r="T963" s="10"/>
      <c r="U963" s="10"/>
      <c r="V963" s="10"/>
      <c r="W963" s="10"/>
      <c r="X963" s="10"/>
      <c r="Y963" s="10"/>
    </row>
    <row r="964">
      <c r="A964" s="10" t="s">
        <v>5997</v>
      </c>
      <c r="B964" s="11">
        <v>1067206.0</v>
      </c>
      <c r="C964" s="8" t="s">
        <v>762</v>
      </c>
      <c r="D964" s="9" t="s">
        <v>5998</v>
      </c>
      <c r="E964" s="10" t="s">
        <v>5999</v>
      </c>
      <c r="F964" s="11">
        <v>1067206.0</v>
      </c>
      <c r="G964" s="10"/>
      <c r="H964" s="10" t="s">
        <v>6000</v>
      </c>
      <c r="I964" s="10" t="s">
        <v>6001</v>
      </c>
      <c r="J964" s="10" t="s">
        <v>6002</v>
      </c>
      <c r="K964" s="10" t="s">
        <v>6002</v>
      </c>
      <c r="L964" s="10" t="s">
        <v>6002</v>
      </c>
      <c r="M964" s="11">
        <v>1998.0</v>
      </c>
      <c r="N964" s="10" t="s">
        <v>6003</v>
      </c>
      <c r="O964" s="10" t="s">
        <v>6003</v>
      </c>
      <c r="P964" s="11">
        <v>6022.0</v>
      </c>
      <c r="Q964" s="11">
        <v>6020.0</v>
      </c>
      <c r="R964" s="11">
        <v>7.25</v>
      </c>
      <c r="S964" s="10"/>
      <c r="T964" s="10"/>
      <c r="U964" s="10"/>
      <c r="V964" s="10"/>
      <c r="W964" s="10"/>
      <c r="X964" s="10"/>
      <c r="Y964" s="10"/>
    </row>
    <row r="965">
      <c r="A965" s="10" t="s">
        <v>6004</v>
      </c>
      <c r="B965" s="11">
        <v>1024332.0</v>
      </c>
      <c r="C965" s="10" t="s">
        <v>20</v>
      </c>
      <c r="D965" s="9" t="s">
        <v>6005</v>
      </c>
      <c r="E965" s="10"/>
      <c r="F965" s="10"/>
      <c r="G965" s="10"/>
      <c r="H965" s="10" t="s">
        <v>6006</v>
      </c>
      <c r="I965" s="10" t="s">
        <v>6007</v>
      </c>
      <c r="J965" s="10" t="s">
        <v>6008</v>
      </c>
      <c r="K965" s="10"/>
      <c r="L965" s="10" t="s">
        <v>6008</v>
      </c>
      <c r="M965" s="11">
        <v>1997.0</v>
      </c>
      <c r="N965" s="10"/>
      <c r="O965" s="10"/>
      <c r="P965" s="11">
        <v>6141.0</v>
      </c>
      <c r="Q965" s="10"/>
      <c r="R965" s="11">
        <v>8.5</v>
      </c>
      <c r="S965" s="10"/>
      <c r="T965" s="10"/>
      <c r="U965" s="10"/>
      <c r="V965" s="10"/>
      <c r="W965" s="10"/>
      <c r="X965" s="10"/>
      <c r="Y965" s="10"/>
    </row>
    <row r="966">
      <c r="A966" s="10" t="s">
        <v>6009</v>
      </c>
      <c r="B966" s="11">
        <v>46738.0</v>
      </c>
      <c r="C966" s="10" t="s">
        <v>20</v>
      </c>
      <c r="D966" s="9" t="s">
        <v>6010</v>
      </c>
      <c r="E966" s="10" t="s">
        <v>6011</v>
      </c>
      <c r="F966" s="11">
        <v>46738.0</v>
      </c>
      <c r="G966" s="10"/>
      <c r="H966" s="10" t="s">
        <v>6012</v>
      </c>
      <c r="I966" s="10" t="s">
        <v>6013</v>
      </c>
      <c r="J966" s="10" t="s">
        <v>4000</v>
      </c>
      <c r="K966" s="10" t="s">
        <v>6014</v>
      </c>
      <c r="L966" s="10" t="s">
        <v>6015</v>
      </c>
      <c r="M966" s="11">
        <v>1998.0</v>
      </c>
      <c r="N966" s="10" t="s">
        <v>5603</v>
      </c>
      <c r="O966" s="10" t="s">
        <v>5603</v>
      </c>
      <c r="P966" s="11">
        <v>6153.0</v>
      </c>
      <c r="Q966" s="11">
        <v>6153.0</v>
      </c>
      <c r="R966" s="11">
        <v>27.0</v>
      </c>
      <c r="S966" s="10"/>
      <c r="T966" s="10"/>
      <c r="U966" s="10"/>
      <c r="V966" s="10"/>
      <c r="W966" s="10"/>
      <c r="X966" s="10"/>
      <c r="Y966" s="10"/>
    </row>
    <row r="967">
      <c r="A967" s="10" t="s">
        <v>6016</v>
      </c>
      <c r="B967" s="11">
        <v>1054298.0</v>
      </c>
      <c r="C967" s="10" t="s">
        <v>20</v>
      </c>
      <c r="D967" s="9" t="s">
        <v>6017</v>
      </c>
      <c r="E967" s="10"/>
      <c r="F967" s="10"/>
      <c r="G967" s="10"/>
      <c r="H967" s="10" t="s">
        <v>6018</v>
      </c>
      <c r="I967" s="10" t="s">
        <v>6019</v>
      </c>
      <c r="J967" s="10" t="s">
        <v>6020</v>
      </c>
      <c r="K967" s="10"/>
      <c r="L967" s="10" t="s">
        <v>6020</v>
      </c>
      <c r="M967" s="11">
        <v>1999.0</v>
      </c>
      <c r="N967" s="10"/>
      <c r="O967" s="10"/>
      <c r="P967" s="11">
        <v>7389.0</v>
      </c>
      <c r="Q967" s="10"/>
      <c r="R967" s="11">
        <v>14.0</v>
      </c>
      <c r="S967" s="10"/>
      <c r="T967" s="10"/>
      <c r="U967" s="10"/>
      <c r="V967" s="10"/>
      <c r="W967" s="10"/>
      <c r="X967" s="10"/>
      <c r="Y967" s="10"/>
    </row>
    <row r="968">
      <c r="A968" s="10" t="s">
        <v>6021</v>
      </c>
      <c r="B968" s="11">
        <v>1022608.0</v>
      </c>
      <c r="C968" s="8" t="s">
        <v>762</v>
      </c>
      <c r="D968" s="9" t="s">
        <v>6022</v>
      </c>
      <c r="E968" s="10"/>
      <c r="F968" s="10"/>
      <c r="G968" s="10"/>
      <c r="H968" s="10" t="s">
        <v>6023</v>
      </c>
      <c r="I968" s="10" t="s">
        <v>6024</v>
      </c>
      <c r="J968" s="10" t="s">
        <v>6025</v>
      </c>
      <c r="K968" s="10"/>
      <c r="L968" s="10" t="s">
        <v>6025</v>
      </c>
      <c r="M968" s="11">
        <v>1996.0</v>
      </c>
      <c r="N968" s="10"/>
      <c r="O968" s="10"/>
      <c r="P968" s="11">
        <v>7374.0</v>
      </c>
      <c r="Q968" s="10"/>
      <c r="R968" s="11">
        <v>13.0</v>
      </c>
      <c r="S968" s="10"/>
      <c r="T968" s="10"/>
      <c r="U968" s="10"/>
      <c r="V968" s="10"/>
      <c r="W968" s="10"/>
      <c r="X968" s="10"/>
      <c r="Y968" s="10"/>
    </row>
    <row r="969">
      <c r="A969" s="10" t="s">
        <v>6026</v>
      </c>
      <c r="B969" s="11">
        <v>1031308.0</v>
      </c>
      <c r="C969" s="10" t="s">
        <v>20</v>
      </c>
      <c r="D969" s="9" t="s">
        <v>6027</v>
      </c>
      <c r="E969" s="10" t="s">
        <v>6028</v>
      </c>
      <c r="F969" s="11">
        <v>1031308.0</v>
      </c>
      <c r="G969" s="11">
        <v>1031308.0</v>
      </c>
      <c r="H969" s="10" t="s">
        <v>6029</v>
      </c>
      <c r="I969" s="10" t="s">
        <v>6030</v>
      </c>
      <c r="J969" s="10" t="s">
        <v>6031</v>
      </c>
      <c r="K969" s="10" t="s">
        <v>6031</v>
      </c>
      <c r="L969" s="10" t="s">
        <v>6031</v>
      </c>
      <c r="M969" s="11">
        <v>2020.0</v>
      </c>
      <c r="N969" s="10" t="s">
        <v>6032</v>
      </c>
      <c r="O969" s="10" t="s">
        <v>6032</v>
      </c>
      <c r="P969" s="11">
        <v>7372.0</v>
      </c>
      <c r="Q969" s="11">
        <v>7370.0</v>
      </c>
      <c r="R969" s="11">
        <v>22.0</v>
      </c>
      <c r="S969" s="10"/>
      <c r="T969" s="10"/>
      <c r="U969" s="10"/>
      <c r="V969" s="10"/>
      <c r="W969" s="10"/>
      <c r="X969" s="10"/>
      <c r="Y969" s="10"/>
    </row>
    <row r="970">
      <c r="A970" s="10" t="s">
        <v>6033</v>
      </c>
      <c r="B970" s="11">
        <v>1223862.0</v>
      </c>
      <c r="C970" s="10" t="s">
        <v>20</v>
      </c>
      <c r="D970" s="9" t="s">
        <v>6034</v>
      </c>
      <c r="E970" s="10" t="s">
        <v>6035</v>
      </c>
      <c r="F970" s="11">
        <v>1223862.0</v>
      </c>
      <c r="G970" s="10"/>
      <c r="H970" s="10" t="s">
        <v>6036</v>
      </c>
      <c r="I970" s="10" t="s">
        <v>6037</v>
      </c>
      <c r="J970" s="10" t="s">
        <v>6038</v>
      </c>
      <c r="K970" s="10" t="s">
        <v>6038</v>
      </c>
      <c r="L970" s="10" t="s">
        <v>6038</v>
      </c>
      <c r="M970" s="11">
        <v>2012.0</v>
      </c>
      <c r="N970" s="10" t="s">
        <v>1379</v>
      </c>
      <c r="O970" s="10" t="s">
        <v>1379</v>
      </c>
      <c r="P970" s="11">
        <v>7374.0</v>
      </c>
      <c r="Q970" s="11">
        <v>7370.0</v>
      </c>
      <c r="R970" s="11">
        <v>16.0</v>
      </c>
      <c r="S970" s="10"/>
      <c r="T970" s="10"/>
      <c r="U970" s="10"/>
      <c r="V970" s="10"/>
      <c r="W970" s="10"/>
      <c r="X970" s="10"/>
      <c r="Y970" s="10"/>
    </row>
    <row r="971">
      <c r="A971" s="10" t="s">
        <v>6039</v>
      </c>
      <c r="B971" s="11">
        <v>1258655.0</v>
      </c>
      <c r="C971" s="10" t="s">
        <v>20</v>
      </c>
      <c r="D971" s="9" t="s">
        <v>6040</v>
      </c>
      <c r="E971" s="10" t="s">
        <v>6041</v>
      </c>
      <c r="F971" s="11">
        <v>1258655.0</v>
      </c>
      <c r="G971" s="11">
        <v>1805651.0</v>
      </c>
      <c r="H971" s="10" t="s">
        <v>6042</v>
      </c>
      <c r="I971" s="10" t="s">
        <v>6043</v>
      </c>
      <c r="J971" s="10" t="s">
        <v>6044</v>
      </c>
      <c r="K971" s="10" t="s">
        <v>6045</v>
      </c>
      <c r="L971" s="10" t="s">
        <v>6046</v>
      </c>
      <c r="M971" s="11">
        <v>1999.0</v>
      </c>
      <c r="N971" s="10" t="s">
        <v>6047</v>
      </c>
      <c r="O971" s="10" t="s">
        <v>6047</v>
      </c>
      <c r="P971" s="11">
        <v>7375.0</v>
      </c>
      <c r="Q971" s="11">
        <v>7370.0</v>
      </c>
      <c r="R971" s="11">
        <v>17.0</v>
      </c>
      <c r="S971" s="10"/>
      <c r="T971" s="10"/>
      <c r="U971" s="10"/>
      <c r="V971" s="10"/>
      <c r="W971" s="10"/>
      <c r="X971" s="10"/>
      <c r="Y971" s="10"/>
    </row>
    <row r="972">
      <c r="A972" s="10" t="s">
        <v>6048</v>
      </c>
      <c r="B972" s="11">
        <v>1076732.0</v>
      </c>
      <c r="C972" s="10" t="s">
        <v>20</v>
      </c>
      <c r="D972" s="9" t="s">
        <v>6049</v>
      </c>
      <c r="E972" s="10" t="s">
        <v>6050</v>
      </c>
      <c r="F972" s="11">
        <v>1076732.0</v>
      </c>
      <c r="G972" s="10"/>
      <c r="H972" s="10" t="s">
        <v>6051</v>
      </c>
      <c r="I972" s="10" t="s">
        <v>6052</v>
      </c>
      <c r="J972" s="10" t="s">
        <v>6053</v>
      </c>
      <c r="K972" s="10" t="s">
        <v>6054</v>
      </c>
      <c r="L972" s="10" t="s">
        <v>6053</v>
      </c>
      <c r="M972" s="11">
        <v>1999.0</v>
      </c>
      <c r="N972" s="10" t="s">
        <v>5560</v>
      </c>
      <c r="O972" s="10" t="s">
        <v>5560</v>
      </c>
      <c r="P972" s="11">
        <v>7379.0</v>
      </c>
      <c r="Q972" s="11">
        <v>7372.0</v>
      </c>
      <c r="R972" s="11">
        <v>21.0</v>
      </c>
      <c r="S972" s="10"/>
      <c r="T972" s="10"/>
      <c r="U972" s="10"/>
      <c r="V972" s="10"/>
      <c r="W972" s="10"/>
      <c r="X972" s="10"/>
      <c r="Y972" s="10"/>
    </row>
    <row r="973">
      <c r="A973" s="10" t="s">
        <v>6055</v>
      </c>
      <c r="B973" s="11">
        <v>1402305.0</v>
      </c>
      <c r="C973" s="10" t="s">
        <v>20</v>
      </c>
      <c r="D973" s="9" t="s">
        <v>6056</v>
      </c>
      <c r="E973" s="10" t="s">
        <v>6057</v>
      </c>
      <c r="F973" s="11">
        <v>1402305.0</v>
      </c>
      <c r="G973" s="10"/>
      <c r="H973" s="10" t="s">
        <v>6058</v>
      </c>
      <c r="I973" s="10" t="s">
        <v>6059</v>
      </c>
      <c r="J973" s="10" t="s">
        <v>6060</v>
      </c>
      <c r="K973" s="10" t="s">
        <v>6060</v>
      </c>
      <c r="L973" s="10" t="s">
        <v>6060</v>
      </c>
      <c r="M973" s="11">
        <v>2007.0</v>
      </c>
      <c r="N973" s="10" t="s">
        <v>6061</v>
      </c>
      <c r="O973" s="10" t="s">
        <v>6061</v>
      </c>
      <c r="P973" s="11">
        <v>7372.0</v>
      </c>
      <c r="Q973" s="11">
        <v>7372.0</v>
      </c>
      <c r="R973" s="11">
        <v>10.0</v>
      </c>
      <c r="S973" s="10"/>
      <c r="T973" s="10"/>
      <c r="U973" s="10"/>
      <c r="V973" s="10"/>
      <c r="W973" s="10"/>
      <c r="X973" s="10"/>
      <c r="Y973" s="10"/>
    </row>
    <row r="974">
      <c r="A974" s="10" t="s">
        <v>6062</v>
      </c>
      <c r="B974" s="11">
        <v>1381325.0</v>
      </c>
      <c r="C974" s="10" t="s">
        <v>20</v>
      </c>
      <c r="D974" s="9" t="s">
        <v>6063</v>
      </c>
      <c r="E974" s="10"/>
      <c r="F974" s="10"/>
      <c r="G974" s="10"/>
      <c r="H974" s="10" t="s">
        <v>6064</v>
      </c>
      <c r="I974" s="10" t="s">
        <v>6065</v>
      </c>
      <c r="J974" s="10" t="s">
        <v>6066</v>
      </c>
      <c r="K974" s="10"/>
      <c r="L974" s="10" t="s">
        <v>6066</v>
      </c>
      <c r="M974" s="11">
        <v>2007.0</v>
      </c>
      <c r="N974" s="10"/>
      <c r="O974" s="10"/>
      <c r="P974" s="11">
        <v>7372.0</v>
      </c>
      <c r="Q974" s="10"/>
      <c r="R974" s="11">
        <v>13.0</v>
      </c>
      <c r="S974" s="10"/>
      <c r="T974" s="10"/>
      <c r="U974" s="10"/>
      <c r="V974" s="10"/>
      <c r="W974" s="10"/>
      <c r="X974" s="10"/>
      <c r="Y974" s="10"/>
    </row>
    <row r="975">
      <c r="A975" s="10" t="s">
        <v>6067</v>
      </c>
      <c r="B975" s="11">
        <v>1111632.0</v>
      </c>
      <c r="C975" s="10" t="s">
        <v>20</v>
      </c>
      <c r="D975" s="9" t="s">
        <v>6068</v>
      </c>
      <c r="E975" s="10" t="s">
        <v>6069</v>
      </c>
      <c r="F975" s="11">
        <v>1111632.0</v>
      </c>
      <c r="G975" s="10"/>
      <c r="H975" s="10" t="s">
        <v>6070</v>
      </c>
      <c r="I975" s="10" t="s">
        <v>6071</v>
      </c>
      <c r="J975" s="10" t="s">
        <v>6072</v>
      </c>
      <c r="K975" s="10" t="s">
        <v>6072</v>
      </c>
      <c r="L975" s="10" t="s">
        <v>6072</v>
      </c>
      <c r="M975" s="11">
        <v>2000.0</v>
      </c>
      <c r="N975" s="10" t="s">
        <v>6073</v>
      </c>
      <c r="O975" s="10" t="s">
        <v>6073</v>
      </c>
      <c r="P975" s="11">
        <v>7372.0</v>
      </c>
      <c r="Q975" s="11">
        <v>3576.0</v>
      </c>
      <c r="R975" s="11">
        <v>12.0</v>
      </c>
      <c r="S975" s="10"/>
      <c r="T975" s="10"/>
      <c r="U975" s="10"/>
      <c r="V975" s="10"/>
      <c r="W975" s="10"/>
      <c r="X975" s="10"/>
      <c r="Y975" s="10"/>
    </row>
    <row r="976">
      <c r="A976" s="10" t="s">
        <v>6074</v>
      </c>
      <c r="B976" s="11">
        <v>1373525.0</v>
      </c>
      <c r="C976" s="8" t="s">
        <v>762</v>
      </c>
      <c r="D976" s="9" t="s">
        <v>6075</v>
      </c>
      <c r="E976" s="10" t="s">
        <v>6076</v>
      </c>
      <c r="F976" s="11">
        <v>1373525.0</v>
      </c>
      <c r="G976" s="10"/>
      <c r="H976" s="10" t="s">
        <v>6077</v>
      </c>
      <c r="I976" s="10" t="s">
        <v>6078</v>
      </c>
      <c r="J976" s="10" t="s">
        <v>6079</v>
      </c>
      <c r="K976" s="10" t="s">
        <v>6079</v>
      </c>
      <c r="L976" s="10" t="s">
        <v>6079</v>
      </c>
      <c r="M976" s="11">
        <v>2007.0</v>
      </c>
      <c r="N976" s="10" t="s">
        <v>6080</v>
      </c>
      <c r="O976" s="10" t="s">
        <v>6080</v>
      </c>
      <c r="P976" s="11">
        <v>6029.0</v>
      </c>
      <c r="Q976" s="11">
        <v>6020.0</v>
      </c>
      <c r="R976" s="11">
        <v>15.75</v>
      </c>
      <c r="S976" s="10"/>
      <c r="T976" s="10"/>
      <c r="U976" s="10"/>
      <c r="V976" s="10"/>
      <c r="W976" s="10"/>
      <c r="X976" s="10"/>
      <c r="Y976" s="10"/>
    </row>
    <row r="977">
      <c r="A977" s="10" t="s">
        <v>6081</v>
      </c>
      <c r="B977" s="11">
        <v>1080866.0</v>
      </c>
      <c r="C977" s="10" t="s">
        <v>20</v>
      </c>
      <c r="D977" s="9" t="s">
        <v>6082</v>
      </c>
      <c r="E977" s="10"/>
      <c r="F977" s="10"/>
      <c r="G977" s="10"/>
      <c r="H977" s="10" t="s">
        <v>6083</v>
      </c>
      <c r="I977" s="10" t="s">
        <v>6084</v>
      </c>
      <c r="J977" s="10" t="s">
        <v>6085</v>
      </c>
      <c r="K977" s="10"/>
      <c r="L977" s="10"/>
      <c r="M977" s="11">
        <v>2011.0</v>
      </c>
      <c r="N977" s="10"/>
      <c r="O977" s="10"/>
      <c r="P977" s="11">
        <v>7389.0</v>
      </c>
      <c r="Q977" s="10"/>
      <c r="R977" s="11">
        <v>15.0</v>
      </c>
      <c r="S977" s="10"/>
      <c r="T977" s="10"/>
      <c r="U977" s="10"/>
      <c r="V977" s="10"/>
      <c r="W977" s="10"/>
      <c r="X977" s="10"/>
      <c r="Y977" s="10"/>
    </row>
    <row r="978">
      <c r="A978" s="10" t="s">
        <v>6086</v>
      </c>
      <c r="B978" s="11">
        <v>1484778.0</v>
      </c>
      <c r="C978" s="10" t="s">
        <v>20</v>
      </c>
      <c r="D978" s="9" t="s">
        <v>6087</v>
      </c>
      <c r="E978" s="10" t="s">
        <v>6088</v>
      </c>
      <c r="F978" s="11">
        <v>1484778.0</v>
      </c>
      <c r="G978" s="11">
        <v>1484778.0</v>
      </c>
      <c r="H978" s="10" t="s">
        <v>6089</v>
      </c>
      <c r="I978" s="10" t="s">
        <v>6090</v>
      </c>
      <c r="J978" s="10" t="s">
        <v>6091</v>
      </c>
      <c r="K978" s="10" t="s">
        <v>6091</v>
      </c>
      <c r="L978" s="10" t="s">
        <v>6091</v>
      </c>
      <c r="M978" s="11">
        <v>2021.0</v>
      </c>
      <c r="N978" s="10" t="s">
        <v>2657</v>
      </c>
      <c r="O978" s="10" t="s">
        <v>2657</v>
      </c>
      <c r="P978" s="11">
        <v>7375.0</v>
      </c>
      <c r="Q978" s="11">
        <v>5961.0</v>
      </c>
      <c r="R978" s="11">
        <v>14.0</v>
      </c>
      <c r="S978" s="10"/>
      <c r="T978" s="10"/>
      <c r="U978" s="10"/>
      <c r="V978" s="10"/>
      <c r="W978" s="10"/>
      <c r="X978" s="10"/>
      <c r="Y978" s="10"/>
    </row>
    <row r="979">
      <c r="A979" s="10" t="s">
        <v>6092</v>
      </c>
      <c r="B979" s="11">
        <v>1389002.0</v>
      </c>
      <c r="C979" s="10" t="s">
        <v>20</v>
      </c>
      <c r="D979" s="9" t="s">
        <v>6093</v>
      </c>
      <c r="E979" s="10"/>
      <c r="F979" s="10"/>
      <c r="G979" s="11">
        <v>1389002.0</v>
      </c>
      <c r="H979" s="10" t="s">
        <v>6094</v>
      </c>
      <c r="I979" s="10" t="s">
        <v>6095</v>
      </c>
      <c r="J979" s="10" t="s">
        <v>6096</v>
      </c>
      <c r="K979" s="10"/>
      <c r="L979" s="10" t="s">
        <v>6096</v>
      </c>
      <c r="M979" s="11">
        <v>2013.0</v>
      </c>
      <c r="N979" s="10"/>
      <c r="O979" s="10"/>
      <c r="P979" s="11">
        <v>7372.0</v>
      </c>
      <c r="Q979" s="10"/>
      <c r="R979" s="11">
        <v>14.0</v>
      </c>
      <c r="S979" s="10"/>
      <c r="T979" s="10"/>
      <c r="U979" s="10"/>
      <c r="V979" s="10"/>
      <c r="W979" s="10"/>
      <c r="X979" s="10"/>
      <c r="Y979" s="10"/>
    </row>
    <row r="980">
      <c r="A980" s="10" t="s">
        <v>6097</v>
      </c>
      <c r="B980" s="11">
        <v>1341317.0</v>
      </c>
      <c r="C980" s="8" t="s">
        <v>762</v>
      </c>
      <c r="D980" s="9" t="s">
        <v>6098</v>
      </c>
      <c r="E980" s="10" t="s">
        <v>6099</v>
      </c>
      <c r="F980" s="11">
        <v>1341317.0</v>
      </c>
      <c r="G980" s="11">
        <v>1341317.0</v>
      </c>
      <c r="H980" s="10" t="s">
        <v>6100</v>
      </c>
      <c r="I980" s="10" t="s">
        <v>6101</v>
      </c>
      <c r="J980" s="10" t="s">
        <v>6102</v>
      </c>
      <c r="K980" s="10" t="s">
        <v>6102</v>
      </c>
      <c r="L980" s="10" t="s">
        <v>6102</v>
      </c>
      <c r="M980" s="11">
        <v>2018.0</v>
      </c>
      <c r="N980" s="10" t="s">
        <v>6103</v>
      </c>
      <c r="O980" s="10" t="s">
        <v>6103</v>
      </c>
      <c r="P980" s="11">
        <v>6712.0</v>
      </c>
      <c r="Q980" s="11">
        <v>6020.0</v>
      </c>
      <c r="R980" s="11">
        <v>11.5</v>
      </c>
      <c r="S980" s="10"/>
      <c r="T980" s="10"/>
      <c r="U980" s="10"/>
      <c r="V980" s="10"/>
      <c r="W980" s="10"/>
      <c r="X980" s="10"/>
      <c r="Y980" s="10"/>
    </row>
    <row r="981">
      <c r="A981" s="10" t="s">
        <v>6104</v>
      </c>
      <c r="B981" s="11">
        <v>932278.0</v>
      </c>
      <c r="C981" s="10" t="s">
        <v>20</v>
      </c>
      <c r="D981" s="9" t="s">
        <v>6105</v>
      </c>
      <c r="E981" s="10" t="s">
        <v>6106</v>
      </c>
      <c r="F981" s="11">
        <v>932278.0</v>
      </c>
      <c r="G981" s="10"/>
      <c r="H981" s="10" t="s">
        <v>6107</v>
      </c>
      <c r="I981" s="10" t="s">
        <v>6108</v>
      </c>
      <c r="J981" s="10" t="s">
        <v>6109</v>
      </c>
      <c r="K981" s="10" t="s">
        <v>6110</v>
      </c>
      <c r="L981" s="10" t="s">
        <v>6111</v>
      </c>
      <c r="M981" s="11">
        <v>1995.0</v>
      </c>
      <c r="N981" s="10" t="s">
        <v>6112</v>
      </c>
      <c r="O981" s="10" t="s">
        <v>6112</v>
      </c>
      <c r="P981" s="11">
        <v>6141.0</v>
      </c>
      <c r="Q981" s="11">
        <v>6141.0</v>
      </c>
      <c r="R981" s="11">
        <v>6.5</v>
      </c>
      <c r="S981" s="10"/>
      <c r="T981" s="10"/>
      <c r="U981" s="10"/>
      <c r="V981" s="10"/>
      <c r="W981" s="10"/>
      <c r="X981" s="10"/>
      <c r="Y981" s="10"/>
    </row>
    <row r="982">
      <c r="A982" s="10" t="s">
        <v>6113</v>
      </c>
      <c r="B982" s="11">
        <v>1758730.0</v>
      </c>
      <c r="C982" s="10" t="s">
        <v>749</v>
      </c>
      <c r="D982" s="9" t="s">
        <v>6114</v>
      </c>
      <c r="E982" s="10" t="s">
        <v>6115</v>
      </c>
      <c r="F982" s="11">
        <v>1758730.0</v>
      </c>
      <c r="G982" s="11">
        <v>1758730.0</v>
      </c>
      <c r="H982" s="10" t="s">
        <v>6116</v>
      </c>
      <c r="I982" s="10" t="s">
        <v>6117</v>
      </c>
      <c r="J982" s="10" t="s">
        <v>6118</v>
      </c>
      <c r="K982" s="10" t="s">
        <v>6118</v>
      </c>
      <c r="L982" s="10"/>
      <c r="M982" s="11">
        <v>2019.0</v>
      </c>
      <c r="N982" s="10" t="s">
        <v>6119</v>
      </c>
      <c r="O982" s="10" t="s">
        <v>6119</v>
      </c>
      <c r="P982" s="11">
        <v>6231.0</v>
      </c>
      <c r="Q982" s="11">
        <v>7370.0</v>
      </c>
      <c r="R982" s="11">
        <v>27.0</v>
      </c>
      <c r="S982" s="10"/>
      <c r="T982" s="10"/>
      <c r="U982" s="10"/>
      <c r="V982" s="10"/>
      <c r="W982" s="10"/>
      <c r="X982" s="10"/>
      <c r="Y982" s="10"/>
    </row>
    <row r="983">
      <c r="A983" s="10" t="s">
        <v>6120</v>
      </c>
      <c r="B983" s="11">
        <v>1043533.0</v>
      </c>
      <c r="C983" s="10" t="s">
        <v>20</v>
      </c>
      <c r="D983" s="9" t="s">
        <v>6121</v>
      </c>
      <c r="E983" s="10"/>
      <c r="F983" s="10"/>
      <c r="G983" s="10"/>
      <c r="H983" s="10" t="s">
        <v>6122</v>
      </c>
      <c r="I983" s="10" t="s">
        <v>6123</v>
      </c>
      <c r="J983" s="10" t="s">
        <v>6124</v>
      </c>
      <c r="K983" s="10"/>
      <c r="L983" s="10"/>
      <c r="M983" s="11">
        <v>1997.0</v>
      </c>
      <c r="N983" s="10"/>
      <c r="O983" s="10"/>
      <c r="P983" s="11">
        <v>7373.0</v>
      </c>
      <c r="Q983" s="10"/>
      <c r="R983" s="11">
        <v>16.0</v>
      </c>
      <c r="S983" s="10"/>
      <c r="T983" s="10"/>
      <c r="U983" s="10"/>
      <c r="V983" s="10"/>
      <c r="W983" s="10"/>
      <c r="X983" s="10"/>
      <c r="Y983" s="10"/>
    </row>
    <row r="984">
      <c r="A984" s="10" t="s">
        <v>6125</v>
      </c>
      <c r="B984" s="11">
        <v>1974640.0</v>
      </c>
      <c r="C984" s="10" t="s">
        <v>20</v>
      </c>
      <c r="D984" s="9" t="s">
        <v>6126</v>
      </c>
      <c r="E984" s="10" t="s">
        <v>6127</v>
      </c>
      <c r="F984" s="11">
        <v>1974640.0</v>
      </c>
      <c r="G984" s="11">
        <v>1974640.0</v>
      </c>
      <c r="H984" s="10" t="s">
        <v>6128</v>
      </c>
      <c r="I984" s="10" t="s">
        <v>6129</v>
      </c>
      <c r="J984" s="10" t="s">
        <v>6130</v>
      </c>
      <c r="K984" s="10" t="s">
        <v>6130</v>
      </c>
      <c r="L984" s="10" t="s">
        <v>6130</v>
      </c>
      <c r="M984" s="11">
        <v>2023.0</v>
      </c>
      <c r="N984" s="10" t="s">
        <v>6131</v>
      </c>
      <c r="O984" s="10" t="s">
        <v>6131</v>
      </c>
      <c r="P984" s="11">
        <v>8731.0</v>
      </c>
      <c r="Q984" s="11">
        <v>2836.0</v>
      </c>
      <c r="R984" s="11">
        <v>17.0</v>
      </c>
      <c r="S984" s="10"/>
      <c r="T984" s="10"/>
      <c r="U984" s="10"/>
      <c r="V984" s="10"/>
      <c r="W984" s="10"/>
      <c r="X984" s="10"/>
      <c r="Y984" s="10"/>
    </row>
    <row r="985">
      <c r="A985" s="10" t="s">
        <v>6132</v>
      </c>
      <c r="B985" s="11">
        <v>1280600.0</v>
      </c>
      <c r="C985" s="10" t="s">
        <v>20</v>
      </c>
      <c r="D985" s="9" t="s">
        <v>6133</v>
      </c>
      <c r="E985" s="10" t="s">
        <v>6134</v>
      </c>
      <c r="F985" s="11">
        <v>1280600.0</v>
      </c>
      <c r="G985" s="10"/>
      <c r="H985" s="10" t="s">
        <v>6135</v>
      </c>
      <c r="I985" s="10" t="s">
        <v>6136</v>
      </c>
      <c r="J985" s="10" t="s">
        <v>6137</v>
      </c>
      <c r="K985" s="10" t="s">
        <v>6137</v>
      </c>
      <c r="L985" s="10" t="s">
        <v>6137</v>
      </c>
      <c r="M985" s="11">
        <v>2013.0</v>
      </c>
      <c r="N985" s="10" t="s">
        <v>6138</v>
      </c>
      <c r="O985" s="10" t="s">
        <v>6138</v>
      </c>
      <c r="P985" s="11">
        <v>8731.0</v>
      </c>
      <c r="Q985" s="11">
        <v>2836.0</v>
      </c>
      <c r="R985" s="11">
        <v>15.0</v>
      </c>
      <c r="S985" s="10"/>
      <c r="T985" s="10"/>
      <c r="U985" s="10"/>
      <c r="V985" s="10"/>
      <c r="W985" s="10"/>
      <c r="X985" s="10"/>
      <c r="Y985" s="10"/>
    </row>
    <row r="986">
      <c r="A986" s="10" t="s">
        <v>6139</v>
      </c>
      <c r="B986" s="11">
        <v>916235.0</v>
      </c>
      <c r="C986" s="10" t="s">
        <v>20</v>
      </c>
      <c r="D986" s="9" t="s">
        <v>6140</v>
      </c>
      <c r="E986" s="10" t="s">
        <v>6141</v>
      </c>
      <c r="F986" s="11">
        <v>916235.0</v>
      </c>
      <c r="G986" s="10"/>
      <c r="H986" s="10" t="s">
        <v>6142</v>
      </c>
      <c r="I986" s="10" t="s">
        <v>6143</v>
      </c>
      <c r="J986" s="10" t="s">
        <v>6144</v>
      </c>
      <c r="K986" s="10" t="s">
        <v>6144</v>
      </c>
      <c r="L986" s="10" t="s">
        <v>6144</v>
      </c>
      <c r="M986" s="11">
        <v>1994.0</v>
      </c>
      <c r="N986" s="10" t="s">
        <v>6145</v>
      </c>
      <c r="O986" s="10" t="s">
        <v>6145</v>
      </c>
      <c r="P986" s="11">
        <v>7372.0</v>
      </c>
      <c r="Q986" s="11">
        <v>7372.0</v>
      </c>
      <c r="R986" s="11">
        <v>9.5</v>
      </c>
      <c r="S986" s="10"/>
      <c r="T986" s="10"/>
      <c r="U986" s="10"/>
      <c r="V986" s="10"/>
      <c r="W986" s="10"/>
      <c r="X986" s="10"/>
      <c r="Y986" s="10"/>
    </row>
    <row r="987">
      <c r="A987" s="10" t="s">
        <v>6146</v>
      </c>
      <c r="B987" s="11">
        <v>1009386.0</v>
      </c>
      <c r="C987" s="10" t="s">
        <v>20</v>
      </c>
      <c r="D987" s="9" t="s">
        <v>6147</v>
      </c>
      <c r="E987" s="10" t="s">
        <v>6148</v>
      </c>
      <c r="F987" s="11">
        <v>1009386.0</v>
      </c>
      <c r="G987" s="10"/>
      <c r="H987" s="10" t="s">
        <v>6149</v>
      </c>
      <c r="I987" s="10" t="s">
        <v>6150</v>
      </c>
      <c r="J987" s="10" t="s">
        <v>6151</v>
      </c>
      <c r="K987" s="10" t="s">
        <v>6151</v>
      </c>
      <c r="L987" s="10" t="s">
        <v>6152</v>
      </c>
      <c r="M987" s="11">
        <v>1999.0</v>
      </c>
      <c r="N987" s="10" t="s">
        <v>6153</v>
      </c>
      <c r="O987" s="10" t="s">
        <v>6153</v>
      </c>
      <c r="P987" s="11">
        <v>7372.0</v>
      </c>
      <c r="Q987" s="11">
        <v>7372.0</v>
      </c>
      <c r="R987" s="11">
        <v>12.0</v>
      </c>
      <c r="S987" s="10"/>
      <c r="T987" s="10"/>
      <c r="U987" s="10"/>
      <c r="V987" s="10"/>
      <c r="W987" s="10"/>
      <c r="X987" s="10"/>
      <c r="Y987" s="10"/>
    </row>
    <row r="988">
      <c r="A988" s="10" t="s">
        <v>6154</v>
      </c>
      <c r="B988" s="11">
        <v>1664710.0</v>
      </c>
      <c r="C988" s="10" t="s">
        <v>20</v>
      </c>
      <c r="D988" s="9" t="s">
        <v>6155</v>
      </c>
      <c r="E988" s="10" t="s">
        <v>6156</v>
      </c>
      <c r="F988" s="11">
        <v>1664710.0</v>
      </c>
      <c r="G988" s="11">
        <v>1664710.0</v>
      </c>
      <c r="H988" s="10" t="s">
        <v>6157</v>
      </c>
      <c r="I988" s="10" t="s">
        <v>6158</v>
      </c>
      <c r="J988" s="10" t="s">
        <v>6159</v>
      </c>
      <c r="K988" s="10" t="s">
        <v>6159</v>
      </c>
      <c r="L988" s="10" t="s">
        <v>6159</v>
      </c>
      <c r="M988" s="11">
        <v>2020.0</v>
      </c>
      <c r="N988" s="10" t="s">
        <v>6160</v>
      </c>
      <c r="O988" s="10" t="s">
        <v>6160</v>
      </c>
      <c r="P988" s="11">
        <v>8731.0</v>
      </c>
      <c r="Q988" s="11">
        <v>2834.0</v>
      </c>
      <c r="R988" s="11">
        <v>16.0</v>
      </c>
      <c r="S988" s="10"/>
      <c r="T988" s="10"/>
      <c r="U988" s="10"/>
      <c r="V988" s="10"/>
      <c r="W988" s="10"/>
      <c r="X988" s="10"/>
      <c r="Y988" s="10"/>
    </row>
    <row r="989">
      <c r="A989" s="10" t="s">
        <v>6161</v>
      </c>
      <c r="B989" s="11">
        <v>1081614.0</v>
      </c>
      <c r="C989" s="10" t="s">
        <v>20</v>
      </c>
      <c r="D989" s="9" t="s">
        <v>6162</v>
      </c>
      <c r="E989" s="10" t="s">
        <v>6163</v>
      </c>
      <c r="F989" s="11">
        <v>1081614.0</v>
      </c>
      <c r="G989" s="10"/>
      <c r="H989" s="10" t="s">
        <v>6164</v>
      </c>
      <c r="I989" s="10" t="s">
        <v>6165</v>
      </c>
      <c r="J989" s="10" t="s">
        <v>6166</v>
      </c>
      <c r="K989" s="10" t="s">
        <v>6167</v>
      </c>
      <c r="L989" s="10" t="s">
        <v>6166</v>
      </c>
      <c r="M989" s="11">
        <v>1999.0</v>
      </c>
      <c r="N989" s="10" t="s">
        <v>547</v>
      </c>
      <c r="O989" s="10" t="s">
        <v>547</v>
      </c>
      <c r="P989" s="11">
        <v>7319.0</v>
      </c>
      <c r="Q989" s="11">
        <v>7370.0</v>
      </c>
      <c r="R989" s="11">
        <v>14.0</v>
      </c>
      <c r="S989" s="10"/>
      <c r="T989" s="10"/>
      <c r="U989" s="10"/>
      <c r="V989" s="10"/>
      <c r="W989" s="10"/>
      <c r="X989" s="10"/>
      <c r="Y989" s="10"/>
    </row>
    <row r="990">
      <c r="A990" s="10" t="s">
        <v>6168</v>
      </c>
      <c r="B990" s="11">
        <v>1024674.0</v>
      </c>
      <c r="C990" s="8" t="s">
        <v>762</v>
      </c>
      <c r="D990" s="9" t="s">
        <v>6169</v>
      </c>
      <c r="E990" s="10"/>
      <c r="F990" s="10"/>
      <c r="G990" s="10"/>
      <c r="H990" s="10" t="s">
        <v>6170</v>
      </c>
      <c r="I990" s="10" t="s">
        <v>6171</v>
      </c>
      <c r="J990" s="10" t="s">
        <v>6172</v>
      </c>
      <c r="K990" s="10"/>
      <c r="L990" s="10" t="s">
        <v>6173</v>
      </c>
      <c r="M990" s="11">
        <v>1996.0</v>
      </c>
      <c r="N990" s="10"/>
      <c r="O990" s="10"/>
      <c r="P990" s="11">
        <v>7374.0</v>
      </c>
      <c r="Q990" s="10"/>
      <c r="R990" s="11">
        <v>15.5</v>
      </c>
      <c r="S990" s="10"/>
      <c r="T990" s="10"/>
      <c r="U990" s="10"/>
      <c r="V990" s="10"/>
      <c r="W990" s="10"/>
      <c r="X990" s="10"/>
      <c r="Y990" s="10"/>
    </row>
    <row r="991">
      <c r="A991" s="10" t="s">
        <v>6174</v>
      </c>
      <c r="B991" s="11">
        <v>1080099.0</v>
      </c>
      <c r="C991" s="10" t="s">
        <v>20</v>
      </c>
      <c r="D991" s="9" t="s">
        <v>6175</v>
      </c>
      <c r="E991" s="10"/>
      <c r="F991" s="10"/>
      <c r="G991" s="11">
        <v>1868778.0</v>
      </c>
      <c r="H991" s="10" t="s">
        <v>6176</v>
      </c>
      <c r="I991" s="10" t="s">
        <v>6177</v>
      </c>
      <c r="J991" s="10" t="s">
        <v>6178</v>
      </c>
      <c r="K991" s="10"/>
      <c r="L991" s="10" t="s">
        <v>6178</v>
      </c>
      <c r="M991" s="11">
        <v>1999.0</v>
      </c>
      <c r="N991" s="10"/>
      <c r="O991" s="10"/>
      <c r="P991" s="11">
        <v>7372.0</v>
      </c>
      <c r="Q991" s="10"/>
      <c r="R991" s="11">
        <v>16.0</v>
      </c>
      <c r="S991" s="10"/>
      <c r="T991" s="10"/>
      <c r="U991" s="10"/>
      <c r="V991" s="10"/>
      <c r="W991" s="10"/>
      <c r="X991" s="10"/>
      <c r="Y991" s="10"/>
    </row>
    <row r="992">
      <c r="A992" s="10" t="s">
        <v>6179</v>
      </c>
      <c r="B992" s="11">
        <v>1013736.0</v>
      </c>
      <c r="C992" s="10" t="s">
        <v>20</v>
      </c>
      <c r="D992" s="9" t="s">
        <v>6180</v>
      </c>
      <c r="E992" s="10" t="s">
        <v>6181</v>
      </c>
      <c r="F992" s="11">
        <v>1013736.0</v>
      </c>
      <c r="G992" s="11">
        <v>2013745.0</v>
      </c>
      <c r="H992" s="10" t="s">
        <v>6182</v>
      </c>
      <c r="I992" s="10" t="s">
        <v>6183</v>
      </c>
      <c r="J992" s="10" t="s">
        <v>6184</v>
      </c>
      <c r="K992" s="10" t="s">
        <v>6185</v>
      </c>
      <c r="L992" s="10" t="s">
        <v>6184</v>
      </c>
      <c r="M992" s="11">
        <v>1996.0</v>
      </c>
      <c r="N992" s="10" t="s">
        <v>3020</v>
      </c>
      <c r="O992" s="10" t="s">
        <v>3020</v>
      </c>
      <c r="P992" s="11">
        <v>7379.0</v>
      </c>
      <c r="Q992" s="11">
        <v>7373.0</v>
      </c>
      <c r="R992" s="11">
        <v>15.0</v>
      </c>
      <c r="S992" s="10"/>
      <c r="T992" s="10"/>
      <c r="U992" s="10"/>
      <c r="V992" s="10"/>
      <c r="W992" s="10"/>
      <c r="X992" s="10"/>
      <c r="Y992" s="10"/>
    </row>
    <row r="993">
      <c r="A993" s="10" t="s">
        <v>6186</v>
      </c>
      <c r="B993" s="11">
        <v>1522540.0</v>
      </c>
      <c r="C993" s="10" t="s">
        <v>749</v>
      </c>
      <c r="D993" s="9" t="s">
        <v>6187</v>
      </c>
      <c r="E993" s="10" t="s">
        <v>6188</v>
      </c>
      <c r="F993" s="11">
        <v>1522540.0</v>
      </c>
      <c r="G993" s="11">
        <v>1522540.0</v>
      </c>
      <c r="H993" s="10" t="s">
        <v>6189</v>
      </c>
      <c r="I993" s="10" t="s">
        <v>6190</v>
      </c>
      <c r="J993" s="10" t="s">
        <v>6191</v>
      </c>
      <c r="K993" s="10" t="s">
        <v>6191</v>
      </c>
      <c r="L993" s="10" t="s">
        <v>6191</v>
      </c>
      <c r="M993" s="11">
        <v>2021.0</v>
      </c>
      <c r="N993" s="10" t="s">
        <v>6192</v>
      </c>
      <c r="O993" s="10" t="s">
        <v>6192</v>
      </c>
      <c r="P993" s="11">
        <v>7372.0</v>
      </c>
      <c r="Q993" s="11">
        <v>7389.0</v>
      </c>
      <c r="R993" s="11">
        <v>27.0</v>
      </c>
      <c r="S993" s="10"/>
      <c r="T993" s="10"/>
      <c r="U993" s="10"/>
      <c r="V993" s="10"/>
      <c r="W993" s="10"/>
      <c r="X993" s="10"/>
      <c r="Y993" s="10"/>
    </row>
    <row r="994">
      <c r="A994" s="10" t="s">
        <v>6193</v>
      </c>
      <c r="B994" s="11">
        <v>1111001.0</v>
      </c>
      <c r="C994" s="10" t="s">
        <v>20</v>
      </c>
      <c r="D994" s="9" t="s">
        <v>6194</v>
      </c>
      <c r="E994" s="10" t="s">
        <v>6195</v>
      </c>
      <c r="F994" s="11">
        <v>1111001.0</v>
      </c>
      <c r="G994" s="10"/>
      <c r="H994" s="10" t="s">
        <v>6196</v>
      </c>
      <c r="I994" s="10" t="s">
        <v>6197</v>
      </c>
      <c r="J994" s="10" t="s">
        <v>6198</v>
      </c>
      <c r="K994" s="10" t="s">
        <v>6198</v>
      </c>
      <c r="L994" s="10" t="s">
        <v>6198</v>
      </c>
      <c r="M994" s="11">
        <v>2000.0</v>
      </c>
      <c r="N994" s="10" t="s">
        <v>6199</v>
      </c>
      <c r="O994" s="10" t="s">
        <v>6199</v>
      </c>
      <c r="P994" s="11">
        <v>7372.0</v>
      </c>
      <c r="Q994" s="11">
        <v>7371.0</v>
      </c>
      <c r="R994" s="11">
        <v>14.0</v>
      </c>
      <c r="S994" s="10"/>
      <c r="T994" s="10"/>
      <c r="U994" s="10"/>
      <c r="V994" s="10"/>
      <c r="W994" s="10"/>
      <c r="X994" s="10"/>
      <c r="Y994" s="10"/>
    </row>
    <row r="995">
      <c r="A995" s="10" t="s">
        <v>6200</v>
      </c>
      <c r="B995" s="11">
        <v>1087423.0</v>
      </c>
      <c r="C995" s="10" t="s">
        <v>20</v>
      </c>
      <c r="D995" s="9" t="s">
        <v>6201</v>
      </c>
      <c r="E995" s="10" t="s">
        <v>6202</v>
      </c>
      <c r="F995" s="11">
        <v>1087423.0</v>
      </c>
      <c r="G995" s="10"/>
      <c r="H995" s="10" t="s">
        <v>6203</v>
      </c>
      <c r="I995" s="10" t="s">
        <v>6204</v>
      </c>
      <c r="J995" s="10" t="s">
        <v>6205</v>
      </c>
      <c r="K995" s="10" t="s">
        <v>6205</v>
      </c>
      <c r="L995" s="10" t="s">
        <v>6205</v>
      </c>
      <c r="M995" s="11">
        <v>1999.0</v>
      </c>
      <c r="N995" s="10" t="s">
        <v>3013</v>
      </c>
      <c r="O995" s="10" t="s">
        <v>3013</v>
      </c>
      <c r="P995" s="11">
        <v>7372.0</v>
      </c>
      <c r="Q995" s="11">
        <v>7372.0</v>
      </c>
      <c r="R995" s="11">
        <v>14.0</v>
      </c>
      <c r="S995" s="10"/>
      <c r="T995" s="10"/>
      <c r="U995" s="10"/>
      <c r="V995" s="10"/>
      <c r="W995" s="10"/>
      <c r="X995" s="10"/>
      <c r="Y995" s="10"/>
    </row>
    <row r="996">
      <c r="A996" s="10" t="s">
        <v>6206</v>
      </c>
      <c r="B996" s="11">
        <v>1049129.0</v>
      </c>
      <c r="C996" s="10" t="s">
        <v>20</v>
      </c>
      <c r="D996" s="9" t="s">
        <v>6207</v>
      </c>
      <c r="E996" s="10" t="s">
        <v>6208</v>
      </c>
      <c r="F996" s="11">
        <v>1049129.0</v>
      </c>
      <c r="G996" s="10"/>
      <c r="H996" s="10" t="s">
        <v>6209</v>
      </c>
      <c r="I996" s="10" t="s">
        <v>6210</v>
      </c>
      <c r="J996" s="10" t="s">
        <v>6211</v>
      </c>
      <c r="K996" s="10" t="s">
        <v>6212</v>
      </c>
      <c r="L996" s="10" t="s">
        <v>6211</v>
      </c>
      <c r="M996" s="11">
        <v>1998.0</v>
      </c>
      <c r="N996" s="10" t="s">
        <v>6213</v>
      </c>
      <c r="O996" s="10" t="s">
        <v>6213</v>
      </c>
      <c r="P996" s="11">
        <v>8711.0</v>
      </c>
      <c r="Q996" s="11">
        <v>8741.0</v>
      </c>
      <c r="R996" s="11">
        <v>6.0</v>
      </c>
      <c r="S996" s="10"/>
      <c r="T996" s="10"/>
      <c r="U996" s="10"/>
      <c r="V996" s="10"/>
      <c r="W996" s="10"/>
      <c r="X996" s="10"/>
      <c r="Y996" s="10"/>
    </row>
    <row r="997">
      <c r="A997" s="10" t="s">
        <v>6214</v>
      </c>
      <c r="B997" s="11">
        <v>1462056.0</v>
      </c>
      <c r="C997" s="10" t="s">
        <v>20</v>
      </c>
      <c r="D997" s="9" t="s">
        <v>6215</v>
      </c>
      <c r="E997" s="10" t="s">
        <v>6216</v>
      </c>
      <c r="F997" s="11">
        <v>1462056.0</v>
      </c>
      <c r="G997" s="11">
        <v>1462056.0</v>
      </c>
      <c r="H997" s="10" t="s">
        <v>6217</v>
      </c>
      <c r="I997" s="10" t="s">
        <v>6218</v>
      </c>
      <c r="J997" s="10" t="s">
        <v>6219</v>
      </c>
      <c r="K997" s="10" t="s">
        <v>6219</v>
      </c>
      <c r="L997" s="10" t="s">
        <v>6219</v>
      </c>
      <c r="M997" s="11">
        <v>2021.0</v>
      </c>
      <c r="N997" s="10" t="s">
        <v>5944</v>
      </c>
      <c r="O997" s="10" t="s">
        <v>5944</v>
      </c>
      <c r="P997" s="11">
        <v>7376.0</v>
      </c>
      <c r="Q997" s="11">
        <v>7370.0</v>
      </c>
      <c r="R997" s="11">
        <v>16.0</v>
      </c>
      <c r="S997" s="10"/>
      <c r="T997" s="10"/>
      <c r="U997" s="10"/>
      <c r="V997" s="10"/>
      <c r="W997" s="10"/>
      <c r="X997" s="10"/>
      <c r="Y997" s="10"/>
    </row>
    <row r="998">
      <c r="A998" s="10" t="s">
        <v>6220</v>
      </c>
      <c r="B998" s="11">
        <v>1011451.0</v>
      </c>
      <c r="C998" s="10" t="s">
        <v>20</v>
      </c>
      <c r="D998" s="9" t="s">
        <v>6221</v>
      </c>
      <c r="E998" s="10" t="s">
        <v>6222</v>
      </c>
      <c r="F998" s="11">
        <v>1011451.0</v>
      </c>
      <c r="G998" s="10"/>
      <c r="H998" s="10" t="s">
        <v>6223</v>
      </c>
      <c r="I998" s="10" t="s">
        <v>6224</v>
      </c>
      <c r="J998" s="10" t="s">
        <v>6225</v>
      </c>
      <c r="K998" s="10" t="s">
        <v>6226</v>
      </c>
      <c r="L998" s="10" t="s">
        <v>6225</v>
      </c>
      <c r="M998" s="11">
        <v>1996.0</v>
      </c>
      <c r="N998" s="10" t="s">
        <v>6227</v>
      </c>
      <c r="O998" s="10" t="s">
        <v>6227</v>
      </c>
      <c r="P998" s="11">
        <v>7372.0</v>
      </c>
      <c r="Q998" s="11">
        <v>7372.0</v>
      </c>
      <c r="R998" s="11">
        <v>11.0</v>
      </c>
      <c r="S998" s="10"/>
      <c r="T998" s="10"/>
      <c r="U998" s="10"/>
      <c r="V998" s="10"/>
      <c r="W998" s="10"/>
      <c r="X998" s="10"/>
      <c r="Y998" s="10"/>
    </row>
    <row r="999">
      <c r="A999" s="10" t="s">
        <v>6228</v>
      </c>
      <c r="B999" s="11">
        <v>854009.0</v>
      </c>
      <c r="C999" s="10" t="s">
        <v>20</v>
      </c>
      <c r="D999" s="9" t="s">
        <v>6229</v>
      </c>
      <c r="E999" s="10" t="s">
        <v>6230</v>
      </c>
      <c r="F999" s="11">
        <v>854009.0</v>
      </c>
      <c r="G999" s="10"/>
      <c r="H999" s="10" t="s">
        <v>6231</v>
      </c>
      <c r="I999" s="10" t="s">
        <v>6232</v>
      </c>
      <c r="J999" s="10" t="s">
        <v>6233</v>
      </c>
      <c r="K999" s="10" t="s">
        <v>6233</v>
      </c>
      <c r="L999" s="10"/>
      <c r="M999" s="11">
        <v>1994.0</v>
      </c>
      <c r="N999" s="10" t="s">
        <v>6234</v>
      </c>
      <c r="O999" s="10" t="s">
        <v>6234</v>
      </c>
      <c r="P999" s="11">
        <v>7371.0</v>
      </c>
      <c r="Q999" s="11">
        <v>4822.0</v>
      </c>
      <c r="R999" s="11">
        <v>15.0</v>
      </c>
      <c r="S999" s="10"/>
      <c r="T999" s="10"/>
      <c r="U999" s="10"/>
      <c r="V999" s="10"/>
      <c r="W999" s="10"/>
      <c r="X999" s="10"/>
      <c r="Y999" s="10"/>
    </row>
    <row r="1000">
      <c r="A1000" s="10" t="s">
        <v>6235</v>
      </c>
      <c r="B1000" s="11">
        <v>1003504.0</v>
      </c>
      <c r="C1000" s="10" t="s">
        <v>20</v>
      </c>
      <c r="D1000" s="9" t="s">
        <v>6236</v>
      </c>
      <c r="E1000" s="10" t="s">
        <v>6237</v>
      </c>
      <c r="F1000" s="11">
        <v>1003504.0</v>
      </c>
      <c r="G1000" s="10"/>
      <c r="H1000" s="10" t="s">
        <v>6238</v>
      </c>
      <c r="I1000" s="10" t="s">
        <v>6239</v>
      </c>
      <c r="J1000" s="10" t="s">
        <v>1563</v>
      </c>
      <c r="K1000" s="10" t="s">
        <v>6240</v>
      </c>
      <c r="L1000" s="10" t="s">
        <v>1563</v>
      </c>
      <c r="M1000" s="11">
        <v>1996.0</v>
      </c>
      <c r="N1000" s="10" t="s">
        <v>6241</v>
      </c>
      <c r="O1000" s="10" t="s">
        <v>6241</v>
      </c>
      <c r="P1000" s="11">
        <v>7374.0</v>
      </c>
      <c r="Q1000" s="11">
        <v>7370.0</v>
      </c>
      <c r="R1000" s="11">
        <v>8.0</v>
      </c>
      <c r="S1000" s="10"/>
      <c r="T1000" s="10"/>
      <c r="U1000" s="10"/>
      <c r="V1000" s="10"/>
      <c r="W1000" s="10"/>
      <c r="X1000" s="10"/>
      <c r="Y1000" s="10"/>
    </row>
    <row r="1001">
      <c r="A1001" s="10" t="s">
        <v>6242</v>
      </c>
      <c r="B1001" s="11">
        <v>1080709.0</v>
      </c>
      <c r="C1001" s="10" t="s">
        <v>20</v>
      </c>
      <c r="D1001" s="9" t="s">
        <v>6243</v>
      </c>
      <c r="E1001" s="10"/>
      <c r="F1001" s="10"/>
      <c r="G1001" s="10"/>
      <c r="H1001" s="10" t="s">
        <v>6244</v>
      </c>
      <c r="I1001" s="10" t="s">
        <v>6245</v>
      </c>
      <c r="J1001" s="10" t="s">
        <v>6246</v>
      </c>
      <c r="K1001" s="10"/>
      <c r="L1001" s="10" t="s">
        <v>6246</v>
      </c>
      <c r="M1001" s="11">
        <v>2000.0</v>
      </c>
      <c r="N1001" s="10"/>
      <c r="O1001" s="10"/>
      <c r="P1001" s="11">
        <v>8731.0</v>
      </c>
      <c r="Q1001" s="10"/>
      <c r="R1001" s="11">
        <v>18.0</v>
      </c>
      <c r="S1001" s="10"/>
      <c r="T1001" s="10"/>
      <c r="U1001" s="10"/>
      <c r="V1001" s="10"/>
      <c r="W1001" s="10"/>
      <c r="X1001" s="10"/>
      <c r="Y1001" s="10"/>
    </row>
    <row r="1002">
      <c r="A1002" s="10" t="s">
        <v>6247</v>
      </c>
      <c r="B1002" s="11">
        <v>859632.0</v>
      </c>
      <c r="C1002" s="10" t="s">
        <v>20</v>
      </c>
      <c r="D1002" s="9" t="s">
        <v>6248</v>
      </c>
      <c r="E1002" s="10"/>
      <c r="F1002" s="10"/>
      <c r="G1002" s="10"/>
      <c r="H1002" s="10" t="s">
        <v>6249</v>
      </c>
      <c r="I1002" s="10" t="s">
        <v>6250</v>
      </c>
      <c r="J1002" s="10" t="s">
        <v>6251</v>
      </c>
      <c r="K1002" s="10"/>
      <c r="L1002" s="10" t="s">
        <v>6251</v>
      </c>
      <c r="M1002" s="11">
        <v>1996.0</v>
      </c>
      <c r="N1002" s="10"/>
      <c r="O1002" s="10"/>
      <c r="P1002" s="11">
        <v>6021.0</v>
      </c>
      <c r="Q1002" s="10"/>
      <c r="R1002" s="11">
        <v>8.5</v>
      </c>
      <c r="S1002" s="10"/>
      <c r="T1002" s="10"/>
      <c r="U1002" s="10"/>
      <c r="V1002" s="10"/>
      <c r="W1002" s="10"/>
      <c r="X1002" s="10"/>
      <c r="Y1002" s="10"/>
    </row>
    <row r="1003">
      <c r="A1003" s="10"/>
      <c r="B1003" s="11"/>
      <c r="C1003" s="10"/>
      <c r="D1003" s="9"/>
      <c r="E1003" s="10"/>
      <c r="F1003" s="10"/>
      <c r="G1003" s="10"/>
      <c r="H1003" s="10"/>
      <c r="I1003" s="10"/>
      <c r="J1003" s="10"/>
      <c r="K1003" s="10"/>
      <c r="L1003" s="10"/>
      <c r="M1003" s="11"/>
      <c r="N1003" s="10"/>
      <c r="O1003" s="10"/>
      <c r="P1003" s="11"/>
      <c r="Q1003" s="10"/>
      <c r="R1003" s="11"/>
      <c r="S1003" s="10"/>
      <c r="T1003" s="10"/>
      <c r="U1003" s="10"/>
      <c r="V1003" s="10"/>
      <c r="W1003" s="10"/>
      <c r="X1003" s="10"/>
      <c r="Y1003" s="10"/>
    </row>
    <row r="1004">
      <c r="A1004" s="10"/>
      <c r="B1004" s="11"/>
      <c r="C1004" s="10"/>
      <c r="D1004" s="9"/>
      <c r="E1004" s="10"/>
      <c r="F1004" s="10"/>
      <c r="G1004" s="10"/>
      <c r="H1004" s="10"/>
      <c r="I1004" s="10"/>
      <c r="J1004" s="10"/>
      <c r="K1004" s="10"/>
      <c r="L1004" s="10"/>
      <c r="M1004" s="11"/>
      <c r="N1004" s="10"/>
      <c r="O1004" s="10"/>
      <c r="P1004" s="11"/>
      <c r="Q1004" s="10"/>
      <c r="R1004" s="11"/>
      <c r="S1004" s="10"/>
      <c r="T1004" s="10"/>
      <c r="U1004" s="10"/>
      <c r="V1004" s="10"/>
      <c r="W1004" s="10"/>
      <c r="X1004" s="10"/>
      <c r="Y1004" s="10"/>
    </row>
    <row r="1005">
      <c r="A1005" s="10"/>
      <c r="B1005" s="11"/>
      <c r="C1005" s="10"/>
      <c r="D1005" s="9"/>
      <c r="E1005" s="10"/>
      <c r="F1005" s="10"/>
      <c r="G1005" s="10"/>
      <c r="H1005" s="10"/>
      <c r="I1005" s="10"/>
      <c r="J1005" s="10"/>
      <c r="K1005" s="10"/>
      <c r="L1005" s="10"/>
      <c r="M1005" s="11"/>
      <c r="N1005" s="10"/>
      <c r="O1005" s="10"/>
      <c r="P1005" s="11"/>
      <c r="Q1005" s="10"/>
      <c r="R1005" s="11"/>
      <c r="S1005" s="10"/>
      <c r="T1005" s="10"/>
      <c r="U1005" s="10"/>
      <c r="V1005" s="10"/>
      <c r="W1005" s="10"/>
      <c r="X1005" s="10"/>
      <c r="Y1005" s="10"/>
    </row>
    <row r="1006">
      <c r="A1006" s="10"/>
      <c r="B1006" s="11"/>
      <c r="C1006" s="10"/>
      <c r="D1006" s="9"/>
      <c r="E1006" s="10"/>
      <c r="F1006" s="10"/>
      <c r="G1006" s="10"/>
      <c r="H1006" s="10"/>
      <c r="I1006" s="10"/>
      <c r="J1006" s="10"/>
      <c r="K1006" s="10"/>
      <c r="L1006" s="10"/>
      <c r="M1006" s="11"/>
      <c r="N1006" s="10"/>
      <c r="O1006" s="10"/>
      <c r="P1006" s="11"/>
      <c r="Q1006" s="10"/>
      <c r="R1006" s="11"/>
      <c r="S1006" s="10"/>
      <c r="T1006" s="10"/>
      <c r="U1006" s="10"/>
      <c r="V1006" s="10"/>
      <c r="W1006" s="10"/>
      <c r="X1006" s="10"/>
      <c r="Y1006" s="10"/>
    </row>
    <row r="1007">
      <c r="A1007" s="10"/>
      <c r="B1007" s="11"/>
      <c r="C1007" s="10"/>
      <c r="D1007" s="9"/>
      <c r="E1007" s="10"/>
      <c r="F1007" s="10"/>
      <c r="G1007" s="10"/>
      <c r="H1007" s="10"/>
      <c r="I1007" s="10"/>
      <c r="J1007" s="10"/>
      <c r="K1007" s="10"/>
      <c r="L1007" s="10"/>
      <c r="M1007" s="11"/>
      <c r="N1007" s="10"/>
      <c r="O1007" s="10"/>
      <c r="P1007" s="11"/>
      <c r="Q1007" s="10"/>
      <c r="R1007" s="11"/>
      <c r="S1007" s="10"/>
      <c r="T1007" s="10"/>
      <c r="U1007" s="10"/>
      <c r="V1007" s="10"/>
      <c r="W1007" s="10"/>
      <c r="X1007" s="10"/>
      <c r="Y1007" s="10"/>
    </row>
    <row r="1008">
      <c r="A1008" s="10"/>
      <c r="B1008" s="11"/>
      <c r="C1008" s="10"/>
      <c r="D1008" s="9"/>
      <c r="E1008" s="10"/>
      <c r="F1008" s="10"/>
      <c r="G1008" s="10"/>
      <c r="H1008" s="10"/>
      <c r="I1008" s="10"/>
      <c r="J1008" s="10"/>
      <c r="K1008" s="10"/>
      <c r="L1008" s="10"/>
      <c r="M1008" s="11"/>
      <c r="N1008" s="10"/>
      <c r="O1008" s="10"/>
      <c r="P1008" s="11"/>
      <c r="Q1008" s="10"/>
      <c r="R1008" s="11"/>
      <c r="S1008" s="10"/>
      <c r="T1008" s="10"/>
      <c r="U1008" s="10"/>
      <c r="V1008" s="10"/>
      <c r="W1008" s="10"/>
      <c r="X1008" s="10"/>
      <c r="Y1008" s="10"/>
    </row>
    <row r="1009">
      <c r="A1009" s="10"/>
      <c r="B1009" s="11"/>
      <c r="C1009" s="10"/>
      <c r="D1009" s="9"/>
      <c r="E1009" s="10"/>
      <c r="F1009" s="10"/>
      <c r="G1009" s="10"/>
      <c r="H1009" s="10"/>
      <c r="I1009" s="10"/>
      <c r="J1009" s="10"/>
      <c r="K1009" s="10"/>
      <c r="L1009" s="10"/>
      <c r="M1009" s="11"/>
      <c r="N1009" s="10"/>
      <c r="O1009" s="10"/>
      <c r="P1009" s="11"/>
      <c r="Q1009" s="10"/>
      <c r="R1009" s="11"/>
      <c r="S1009" s="10"/>
      <c r="T1009" s="10"/>
      <c r="U1009" s="10"/>
      <c r="V1009" s="10"/>
      <c r="W1009" s="10"/>
      <c r="X1009" s="10"/>
      <c r="Y1009" s="10"/>
    </row>
    <row r="1010">
      <c r="A1010" s="10"/>
      <c r="B1010" s="11"/>
      <c r="C1010" s="10"/>
      <c r="D1010" s="9"/>
      <c r="E1010" s="10"/>
      <c r="F1010" s="10"/>
      <c r="G1010" s="10"/>
      <c r="H1010" s="10"/>
      <c r="I1010" s="10"/>
      <c r="J1010" s="10"/>
      <c r="K1010" s="10"/>
      <c r="L1010" s="10"/>
      <c r="M1010" s="11"/>
      <c r="N1010" s="10"/>
      <c r="O1010" s="10"/>
      <c r="P1010" s="11"/>
      <c r="Q1010" s="10"/>
      <c r="R1010" s="11"/>
      <c r="S1010" s="10"/>
      <c r="T1010" s="10"/>
      <c r="U1010" s="10"/>
      <c r="V1010" s="10"/>
      <c r="W1010" s="10"/>
      <c r="X1010" s="10"/>
      <c r="Y1010" s="10"/>
    </row>
    <row r="1011">
      <c r="A1011" s="10"/>
      <c r="B1011" s="11"/>
      <c r="C1011" s="10"/>
      <c r="D1011" s="9"/>
      <c r="E1011" s="10"/>
      <c r="F1011" s="10"/>
      <c r="G1011" s="10"/>
      <c r="H1011" s="10"/>
      <c r="I1011" s="10"/>
      <c r="J1011" s="10"/>
      <c r="K1011" s="10"/>
      <c r="L1011" s="10"/>
      <c r="M1011" s="11"/>
      <c r="N1011" s="10"/>
      <c r="O1011" s="10"/>
      <c r="P1011" s="11"/>
      <c r="Q1011" s="10"/>
      <c r="R1011" s="11"/>
      <c r="S1011" s="10"/>
      <c r="T1011" s="10"/>
      <c r="U1011" s="10"/>
      <c r="V1011" s="10"/>
      <c r="W1011" s="10"/>
      <c r="X1011" s="10"/>
      <c r="Y1011" s="10"/>
    </row>
    <row r="1012">
      <c r="A1012" s="10"/>
      <c r="B1012" s="11"/>
      <c r="C1012" s="10"/>
      <c r="D1012" s="9"/>
      <c r="E1012" s="10"/>
      <c r="F1012" s="10"/>
      <c r="G1012" s="10"/>
      <c r="H1012" s="10"/>
      <c r="I1012" s="10"/>
      <c r="J1012" s="10"/>
      <c r="K1012" s="10"/>
      <c r="L1012" s="10"/>
      <c r="M1012" s="11"/>
      <c r="N1012" s="10"/>
      <c r="O1012" s="10"/>
      <c r="P1012" s="11"/>
      <c r="Q1012" s="10"/>
      <c r="R1012" s="11"/>
      <c r="S1012" s="10"/>
      <c r="T1012" s="10"/>
      <c r="U1012" s="10"/>
      <c r="V1012" s="10"/>
      <c r="W1012" s="10"/>
      <c r="X1012" s="10"/>
      <c r="Y1012" s="10"/>
    </row>
    <row r="1013">
      <c r="A1013" s="10"/>
      <c r="B1013" s="11"/>
      <c r="C1013" s="10"/>
      <c r="D1013" s="9"/>
      <c r="E1013" s="10"/>
      <c r="F1013" s="10"/>
      <c r="G1013" s="10"/>
      <c r="H1013" s="10"/>
      <c r="I1013" s="10"/>
      <c r="J1013" s="10"/>
      <c r="K1013" s="10"/>
      <c r="L1013" s="10"/>
      <c r="M1013" s="11"/>
      <c r="N1013" s="10"/>
      <c r="O1013" s="10"/>
      <c r="P1013" s="11"/>
      <c r="Q1013" s="10"/>
      <c r="R1013" s="11"/>
      <c r="S1013" s="10"/>
      <c r="T1013" s="10"/>
      <c r="U1013" s="10"/>
      <c r="V1013" s="10"/>
      <c r="W1013" s="10"/>
      <c r="X1013" s="10"/>
      <c r="Y1013" s="10"/>
    </row>
    <row r="1014">
      <c r="A1014" s="10"/>
      <c r="B1014" s="11"/>
      <c r="C1014" s="10"/>
      <c r="D1014" s="9"/>
      <c r="E1014" s="10"/>
      <c r="F1014" s="10"/>
      <c r="G1014" s="10"/>
      <c r="H1014" s="10"/>
      <c r="I1014" s="10"/>
      <c r="J1014" s="10"/>
      <c r="K1014" s="10"/>
      <c r="L1014" s="10"/>
      <c r="M1014" s="11"/>
      <c r="N1014" s="10"/>
      <c r="O1014" s="10"/>
      <c r="P1014" s="11"/>
      <c r="Q1014" s="10"/>
      <c r="R1014" s="11"/>
      <c r="S1014" s="10"/>
      <c r="T1014" s="10"/>
      <c r="U1014" s="10"/>
      <c r="V1014" s="10"/>
      <c r="W1014" s="10"/>
      <c r="X1014" s="10"/>
      <c r="Y1014" s="10"/>
    </row>
    <row r="1015">
      <c r="A1015" s="10"/>
      <c r="B1015" s="11"/>
      <c r="C1015" s="10"/>
      <c r="D1015" s="9"/>
      <c r="E1015" s="10"/>
      <c r="F1015" s="10"/>
      <c r="G1015" s="10"/>
      <c r="H1015" s="10"/>
      <c r="I1015" s="10"/>
      <c r="J1015" s="10"/>
      <c r="K1015" s="10"/>
      <c r="L1015" s="10"/>
      <c r="M1015" s="11"/>
      <c r="N1015" s="10"/>
      <c r="O1015" s="10"/>
      <c r="P1015" s="11"/>
      <c r="Q1015" s="10"/>
      <c r="R1015" s="11"/>
      <c r="S1015" s="10"/>
      <c r="T1015" s="10"/>
      <c r="U1015" s="10"/>
      <c r="V1015" s="10"/>
      <c r="W1015" s="10"/>
      <c r="X1015" s="10"/>
      <c r="Y1015" s="10"/>
    </row>
    <row r="1016">
      <c r="A1016" s="10"/>
      <c r="B1016" s="11"/>
      <c r="C1016" s="10"/>
      <c r="D1016" s="9"/>
      <c r="E1016" s="10"/>
      <c r="F1016" s="10"/>
      <c r="G1016" s="10"/>
      <c r="H1016" s="10"/>
      <c r="I1016" s="10"/>
      <c r="J1016" s="10"/>
      <c r="K1016" s="10"/>
      <c r="L1016" s="10"/>
      <c r="M1016" s="11"/>
      <c r="N1016" s="10"/>
      <c r="O1016" s="10"/>
      <c r="P1016" s="11"/>
      <c r="Q1016" s="10"/>
      <c r="R1016" s="11"/>
      <c r="S1016" s="10"/>
      <c r="T1016" s="10"/>
      <c r="U1016" s="10"/>
      <c r="V1016" s="10"/>
      <c r="W1016" s="10"/>
      <c r="X1016" s="10"/>
      <c r="Y1016" s="10"/>
    </row>
    <row r="1017">
      <c r="A1017" s="10"/>
      <c r="B1017" s="11"/>
      <c r="C1017" s="10"/>
      <c r="D1017" s="9"/>
      <c r="E1017" s="10"/>
      <c r="F1017" s="10"/>
      <c r="G1017" s="10"/>
      <c r="H1017" s="10"/>
      <c r="I1017" s="10"/>
      <c r="J1017" s="10"/>
      <c r="K1017" s="10"/>
      <c r="L1017" s="10"/>
      <c r="M1017" s="11"/>
      <c r="N1017" s="10"/>
      <c r="O1017" s="10"/>
      <c r="P1017" s="11"/>
      <c r="Q1017" s="10"/>
      <c r="R1017" s="11"/>
      <c r="S1017" s="10"/>
      <c r="T1017" s="10"/>
      <c r="U1017" s="10"/>
      <c r="V1017" s="10"/>
      <c r="W1017" s="10"/>
      <c r="X1017" s="10"/>
      <c r="Y1017" s="10"/>
    </row>
    <row r="1018">
      <c r="A1018" s="10"/>
      <c r="B1018" s="11"/>
      <c r="C1018" s="10"/>
      <c r="D1018" s="9"/>
      <c r="E1018" s="10"/>
      <c r="F1018" s="10"/>
      <c r="G1018" s="10"/>
      <c r="H1018" s="10"/>
      <c r="I1018" s="10"/>
      <c r="J1018" s="10"/>
      <c r="K1018" s="10"/>
      <c r="L1018" s="10"/>
      <c r="M1018" s="11"/>
      <c r="N1018" s="10"/>
      <c r="O1018" s="10"/>
      <c r="P1018" s="11"/>
      <c r="Q1018" s="10"/>
      <c r="R1018" s="11"/>
      <c r="S1018" s="10"/>
      <c r="T1018" s="10"/>
      <c r="U1018" s="10"/>
      <c r="V1018" s="10"/>
      <c r="W1018" s="10"/>
      <c r="X1018" s="10"/>
      <c r="Y1018" s="10"/>
    </row>
    <row r="1019">
      <c r="A1019" s="10"/>
      <c r="B1019" s="11"/>
      <c r="C1019" s="10"/>
      <c r="D1019" s="9"/>
      <c r="E1019" s="10"/>
      <c r="F1019" s="10"/>
      <c r="G1019" s="10"/>
      <c r="H1019" s="10"/>
      <c r="I1019" s="10"/>
      <c r="J1019" s="10"/>
      <c r="K1019" s="10"/>
      <c r="L1019" s="10"/>
      <c r="M1019" s="11"/>
      <c r="N1019" s="10"/>
      <c r="O1019" s="10"/>
      <c r="P1019" s="11"/>
      <c r="Q1019" s="10"/>
      <c r="R1019" s="11"/>
      <c r="S1019" s="10"/>
      <c r="T1019" s="10"/>
      <c r="U1019" s="10"/>
      <c r="V1019" s="10"/>
      <c r="W1019" s="10"/>
      <c r="X1019" s="10"/>
      <c r="Y1019" s="10"/>
    </row>
    <row r="1020">
      <c r="A1020" s="10"/>
      <c r="B1020" s="11"/>
      <c r="C1020" s="10"/>
      <c r="D1020" s="9"/>
      <c r="E1020" s="10"/>
      <c r="F1020" s="10"/>
      <c r="G1020" s="10"/>
      <c r="H1020" s="10"/>
      <c r="I1020" s="10"/>
      <c r="J1020" s="10"/>
      <c r="K1020" s="10"/>
      <c r="L1020" s="10"/>
      <c r="M1020" s="11"/>
      <c r="N1020" s="10"/>
      <c r="O1020" s="10"/>
      <c r="P1020" s="11"/>
      <c r="Q1020" s="10"/>
      <c r="R1020" s="11"/>
      <c r="S1020" s="10"/>
      <c r="T1020" s="10"/>
      <c r="U1020" s="10"/>
      <c r="V1020" s="10"/>
      <c r="W1020" s="10"/>
      <c r="X1020" s="10"/>
      <c r="Y1020" s="10"/>
    </row>
    <row r="1021">
      <c r="A1021" s="10"/>
      <c r="B1021" s="11"/>
      <c r="C1021" s="10"/>
      <c r="D1021" s="9"/>
      <c r="E1021" s="10"/>
      <c r="F1021" s="10"/>
      <c r="G1021" s="10"/>
      <c r="H1021" s="10"/>
      <c r="I1021" s="10"/>
      <c r="J1021" s="10"/>
      <c r="K1021" s="10"/>
      <c r="L1021" s="10"/>
      <c r="M1021" s="11"/>
      <c r="N1021" s="10"/>
      <c r="O1021" s="10"/>
      <c r="P1021" s="11"/>
      <c r="Q1021" s="10"/>
      <c r="R1021" s="11"/>
      <c r="S1021" s="10"/>
      <c r="T1021" s="10"/>
      <c r="U1021" s="10"/>
      <c r="V1021" s="10"/>
      <c r="W1021" s="10"/>
      <c r="X1021" s="10"/>
      <c r="Y1021" s="10"/>
    </row>
    <row r="1022">
      <c r="A1022" s="10"/>
      <c r="B1022" s="11"/>
      <c r="C1022" s="10"/>
      <c r="D1022" s="9"/>
      <c r="E1022" s="10"/>
      <c r="F1022" s="10"/>
      <c r="G1022" s="10"/>
      <c r="H1022" s="10"/>
      <c r="I1022" s="10"/>
      <c r="J1022" s="10"/>
      <c r="K1022" s="10"/>
      <c r="L1022" s="10"/>
      <c r="M1022" s="11"/>
      <c r="N1022" s="10"/>
      <c r="O1022" s="10"/>
      <c r="P1022" s="11"/>
      <c r="Q1022" s="10"/>
      <c r="R1022" s="11"/>
      <c r="S1022" s="10"/>
      <c r="T1022" s="10"/>
      <c r="U1022" s="10"/>
      <c r="V1022" s="10"/>
      <c r="W1022" s="10"/>
      <c r="X1022" s="10"/>
      <c r="Y1022" s="10"/>
    </row>
    <row r="1023">
      <c r="A1023" s="10"/>
      <c r="B1023" s="11"/>
      <c r="C1023" s="10"/>
      <c r="D1023" s="9"/>
      <c r="E1023" s="10"/>
      <c r="F1023" s="10"/>
      <c r="G1023" s="10"/>
      <c r="H1023" s="10"/>
      <c r="I1023" s="10"/>
      <c r="J1023" s="10"/>
      <c r="K1023" s="10"/>
      <c r="L1023" s="10"/>
      <c r="M1023" s="11"/>
      <c r="N1023" s="10"/>
      <c r="O1023" s="10"/>
      <c r="P1023" s="11"/>
      <c r="Q1023" s="10"/>
      <c r="R1023" s="11"/>
      <c r="S1023" s="10"/>
      <c r="T1023" s="10"/>
      <c r="U1023" s="10"/>
      <c r="V1023" s="10"/>
      <c r="W1023" s="10"/>
      <c r="X1023" s="10"/>
      <c r="Y1023" s="10"/>
    </row>
    <row r="1024">
      <c r="A1024" s="10"/>
      <c r="B1024" s="11"/>
      <c r="C1024" s="10"/>
      <c r="D1024" s="9"/>
      <c r="E1024" s="10"/>
      <c r="F1024" s="10"/>
      <c r="G1024" s="10"/>
      <c r="H1024" s="10"/>
      <c r="I1024" s="10"/>
      <c r="J1024" s="10"/>
      <c r="K1024" s="10"/>
      <c r="L1024" s="10"/>
      <c r="M1024" s="11"/>
      <c r="N1024" s="10"/>
      <c r="O1024" s="10"/>
      <c r="P1024" s="11"/>
      <c r="Q1024" s="10"/>
      <c r="R1024" s="11"/>
      <c r="S1024" s="10"/>
      <c r="T1024" s="10"/>
      <c r="U1024" s="10"/>
      <c r="V1024" s="10"/>
      <c r="W1024" s="10"/>
      <c r="X1024" s="10"/>
      <c r="Y1024" s="10"/>
    </row>
    <row r="1025">
      <c r="A1025" s="10"/>
      <c r="B1025" s="11"/>
      <c r="C1025" s="10"/>
      <c r="D1025" s="9"/>
      <c r="E1025" s="10"/>
      <c r="F1025" s="10"/>
      <c r="G1025" s="10"/>
      <c r="H1025" s="10"/>
      <c r="I1025" s="10"/>
      <c r="J1025" s="10"/>
      <c r="K1025" s="10"/>
      <c r="L1025" s="10"/>
      <c r="M1025" s="11"/>
      <c r="N1025" s="10"/>
      <c r="O1025" s="10"/>
      <c r="P1025" s="11"/>
      <c r="Q1025" s="10"/>
      <c r="R1025" s="11"/>
      <c r="S1025" s="10"/>
      <c r="T1025" s="10"/>
      <c r="U1025" s="10"/>
      <c r="V1025" s="10"/>
      <c r="W1025" s="10"/>
      <c r="X1025" s="10"/>
      <c r="Y1025" s="10"/>
    </row>
    <row r="1026">
      <c r="A1026" s="10"/>
      <c r="B1026" s="11"/>
      <c r="C1026" s="10"/>
      <c r="D1026" s="9"/>
      <c r="E1026" s="10"/>
      <c r="F1026" s="10"/>
      <c r="G1026" s="10"/>
      <c r="H1026" s="10"/>
      <c r="I1026" s="10"/>
      <c r="J1026" s="10"/>
      <c r="K1026" s="10"/>
      <c r="L1026" s="10"/>
      <c r="M1026" s="11"/>
      <c r="N1026" s="10"/>
      <c r="O1026" s="10"/>
      <c r="P1026" s="11"/>
      <c r="Q1026" s="10"/>
      <c r="R1026" s="11"/>
      <c r="S1026" s="10"/>
      <c r="T1026" s="10"/>
      <c r="U1026" s="10"/>
      <c r="V1026" s="10"/>
      <c r="W1026" s="10"/>
      <c r="X1026" s="10"/>
      <c r="Y1026" s="10"/>
    </row>
    <row r="1027">
      <c r="A1027" s="10"/>
      <c r="B1027" s="11"/>
      <c r="C1027" s="10"/>
      <c r="D1027" s="9"/>
      <c r="E1027" s="10"/>
      <c r="F1027" s="10"/>
      <c r="G1027" s="10"/>
      <c r="H1027" s="10"/>
      <c r="I1027" s="10"/>
      <c r="J1027" s="10"/>
      <c r="K1027" s="10"/>
      <c r="L1027" s="10"/>
      <c r="M1027" s="11"/>
      <c r="N1027" s="10"/>
      <c r="O1027" s="10"/>
      <c r="P1027" s="11"/>
      <c r="Q1027" s="10"/>
      <c r="R1027" s="11"/>
      <c r="S1027" s="10"/>
      <c r="T1027" s="10"/>
      <c r="U1027" s="10"/>
      <c r="V1027" s="10"/>
      <c r="W1027" s="10"/>
      <c r="X1027" s="10"/>
      <c r="Y1027" s="10"/>
    </row>
    <row r="1028">
      <c r="A1028" s="10"/>
      <c r="B1028" s="11"/>
      <c r="C1028" s="10"/>
      <c r="D1028" s="9"/>
      <c r="E1028" s="10"/>
      <c r="F1028" s="10"/>
      <c r="G1028" s="10"/>
      <c r="H1028" s="10"/>
      <c r="I1028" s="10"/>
      <c r="J1028" s="10"/>
      <c r="K1028" s="10"/>
      <c r="L1028" s="10"/>
      <c r="M1028" s="11"/>
      <c r="N1028" s="10"/>
      <c r="O1028" s="10"/>
      <c r="P1028" s="11"/>
      <c r="Q1028" s="10"/>
      <c r="R1028" s="11"/>
      <c r="S1028" s="10"/>
      <c r="T1028" s="10"/>
      <c r="U1028" s="10"/>
      <c r="V1028" s="10"/>
      <c r="W1028" s="10"/>
      <c r="X1028" s="10"/>
      <c r="Y1028" s="10"/>
    </row>
    <row r="1029">
      <c r="A1029" s="10"/>
      <c r="B1029" s="11"/>
      <c r="C1029" s="10"/>
      <c r="D1029" s="9"/>
      <c r="E1029" s="10"/>
      <c r="F1029" s="10"/>
      <c r="G1029" s="10"/>
      <c r="H1029" s="10"/>
      <c r="I1029" s="10"/>
      <c r="J1029" s="10"/>
      <c r="K1029" s="10"/>
      <c r="L1029" s="10"/>
      <c r="M1029" s="11"/>
      <c r="N1029" s="10"/>
      <c r="O1029" s="10"/>
      <c r="P1029" s="11"/>
      <c r="Q1029" s="10"/>
      <c r="R1029" s="11"/>
      <c r="S1029" s="10"/>
      <c r="T1029" s="10"/>
      <c r="U1029" s="10"/>
      <c r="V1029" s="10"/>
      <c r="W1029" s="10"/>
      <c r="X1029" s="10"/>
      <c r="Y1029" s="10"/>
    </row>
    <row r="1030">
      <c r="A1030" s="10"/>
      <c r="B1030" s="11"/>
      <c r="C1030" s="10"/>
      <c r="D1030" s="9"/>
      <c r="E1030" s="10"/>
      <c r="F1030" s="10"/>
      <c r="G1030" s="10"/>
      <c r="H1030" s="10"/>
      <c r="I1030" s="10"/>
      <c r="J1030" s="10"/>
      <c r="K1030" s="10"/>
      <c r="L1030" s="10"/>
      <c r="M1030" s="11"/>
      <c r="N1030" s="10"/>
      <c r="O1030" s="10"/>
      <c r="P1030" s="11"/>
      <c r="Q1030" s="10"/>
      <c r="R1030" s="11"/>
      <c r="S1030" s="10"/>
      <c r="T1030" s="10"/>
      <c r="U1030" s="10"/>
      <c r="V1030" s="10"/>
      <c r="W1030" s="10"/>
      <c r="X1030" s="10"/>
      <c r="Y1030" s="10"/>
    </row>
    <row r="1031">
      <c r="A1031" s="10"/>
      <c r="B1031" s="11"/>
      <c r="C1031" s="10"/>
      <c r="D1031" s="9"/>
      <c r="E1031" s="10"/>
      <c r="F1031" s="10"/>
      <c r="G1031" s="10"/>
      <c r="H1031" s="10"/>
      <c r="I1031" s="10"/>
      <c r="J1031" s="10"/>
      <c r="K1031" s="10"/>
      <c r="L1031" s="10"/>
      <c r="M1031" s="11"/>
      <c r="N1031" s="10"/>
      <c r="O1031" s="10"/>
      <c r="P1031" s="11"/>
      <c r="Q1031" s="10"/>
      <c r="R1031" s="11"/>
      <c r="S1031" s="10"/>
      <c r="T1031" s="10"/>
      <c r="U1031" s="10"/>
      <c r="V1031" s="10"/>
      <c r="W1031" s="10"/>
      <c r="X1031" s="10"/>
      <c r="Y1031" s="10"/>
    </row>
    <row r="1032">
      <c r="A1032" s="10"/>
      <c r="B1032" s="11"/>
      <c r="C1032" s="10"/>
      <c r="D1032" s="9"/>
      <c r="E1032" s="10"/>
      <c r="F1032" s="10"/>
      <c r="G1032" s="10"/>
      <c r="H1032" s="10"/>
      <c r="I1032" s="10"/>
      <c r="J1032" s="10"/>
      <c r="K1032" s="10"/>
      <c r="L1032" s="10"/>
      <c r="M1032" s="11"/>
      <c r="N1032" s="10"/>
      <c r="O1032" s="10"/>
      <c r="P1032" s="11"/>
      <c r="Q1032" s="10"/>
      <c r="R1032" s="11"/>
      <c r="S1032" s="10"/>
      <c r="T1032" s="10"/>
      <c r="U1032" s="10"/>
      <c r="V1032" s="10"/>
      <c r="W1032" s="10"/>
      <c r="X1032" s="10"/>
      <c r="Y1032" s="10"/>
    </row>
    <row r="1033">
      <c r="A1033" s="10"/>
      <c r="B1033" s="11"/>
      <c r="C1033" s="10"/>
      <c r="D1033" s="9"/>
      <c r="E1033" s="10"/>
      <c r="F1033" s="10"/>
      <c r="G1033" s="10"/>
      <c r="H1033" s="10"/>
      <c r="I1033" s="10"/>
      <c r="J1033" s="10"/>
      <c r="K1033" s="10"/>
      <c r="L1033" s="10"/>
      <c r="M1033" s="11"/>
      <c r="N1033" s="10"/>
      <c r="O1033" s="10"/>
      <c r="P1033" s="11"/>
      <c r="Q1033" s="10"/>
      <c r="R1033" s="11"/>
      <c r="S1033" s="10"/>
      <c r="T1033" s="10"/>
      <c r="U1033" s="10"/>
      <c r="V1033" s="10"/>
      <c r="W1033" s="10"/>
      <c r="X1033" s="10"/>
      <c r="Y1033" s="10"/>
    </row>
    <row r="1034">
      <c r="A1034" s="10"/>
      <c r="B1034" s="11"/>
      <c r="C1034" s="10"/>
      <c r="D1034" s="9"/>
      <c r="E1034" s="10"/>
      <c r="F1034" s="10"/>
      <c r="G1034" s="10"/>
      <c r="H1034" s="10"/>
      <c r="I1034" s="10"/>
      <c r="J1034" s="10"/>
      <c r="K1034" s="10"/>
      <c r="L1034" s="10"/>
      <c r="M1034" s="11"/>
      <c r="N1034" s="10"/>
      <c r="O1034" s="10"/>
      <c r="P1034" s="11"/>
      <c r="Q1034" s="10"/>
      <c r="R1034" s="11"/>
      <c r="S1034" s="10"/>
      <c r="T1034" s="10"/>
      <c r="U1034" s="10"/>
      <c r="V1034" s="10"/>
      <c r="W1034" s="10"/>
      <c r="X1034" s="10"/>
      <c r="Y1034" s="10"/>
    </row>
    <row r="1035">
      <c r="A1035" s="10"/>
      <c r="B1035" s="11"/>
      <c r="C1035" s="10"/>
      <c r="D1035" s="9"/>
      <c r="E1035" s="10"/>
      <c r="F1035" s="10"/>
      <c r="G1035" s="10"/>
      <c r="H1035" s="10"/>
      <c r="I1035" s="10"/>
      <c r="J1035" s="10"/>
      <c r="K1035" s="10"/>
      <c r="L1035" s="10"/>
      <c r="M1035" s="11"/>
      <c r="N1035" s="10"/>
      <c r="O1035" s="10"/>
      <c r="P1035" s="11"/>
      <c r="Q1035" s="10"/>
      <c r="R1035" s="11"/>
      <c r="S1035" s="10"/>
      <c r="T1035" s="10"/>
      <c r="U1035" s="10"/>
      <c r="V1035" s="10"/>
      <c r="W1035" s="10"/>
      <c r="X1035" s="10"/>
      <c r="Y1035" s="10"/>
    </row>
    <row r="1036">
      <c r="A1036" s="10"/>
      <c r="B1036" s="11"/>
      <c r="C1036" s="10"/>
      <c r="D1036" s="9"/>
      <c r="E1036" s="10"/>
      <c r="F1036" s="10"/>
      <c r="G1036" s="10"/>
      <c r="H1036" s="10"/>
      <c r="I1036" s="10"/>
      <c r="J1036" s="10"/>
      <c r="K1036" s="10"/>
      <c r="L1036" s="10"/>
      <c r="M1036" s="11"/>
      <c r="N1036" s="10"/>
      <c r="O1036" s="10"/>
      <c r="P1036" s="11"/>
      <c r="Q1036" s="10"/>
      <c r="R1036" s="11"/>
      <c r="S1036" s="10"/>
      <c r="T1036" s="10"/>
      <c r="U1036" s="10"/>
      <c r="V1036" s="10"/>
      <c r="W1036" s="10"/>
      <c r="X1036" s="10"/>
      <c r="Y1036" s="10"/>
    </row>
    <row r="1037">
      <c r="A1037" s="10"/>
      <c r="B1037" s="11"/>
      <c r="C1037" s="10"/>
      <c r="D1037" s="9"/>
      <c r="E1037" s="10"/>
      <c r="F1037" s="10"/>
      <c r="G1037" s="10"/>
      <c r="H1037" s="10"/>
      <c r="I1037" s="10"/>
      <c r="J1037" s="10"/>
      <c r="K1037" s="10"/>
      <c r="L1037" s="10"/>
      <c r="M1037" s="11"/>
      <c r="N1037" s="10"/>
      <c r="O1037" s="10"/>
      <c r="P1037" s="11"/>
      <c r="Q1037" s="10"/>
      <c r="R1037" s="11"/>
      <c r="S1037" s="10"/>
      <c r="T1037" s="10"/>
      <c r="U1037" s="10"/>
      <c r="V1037" s="10"/>
      <c r="W1037" s="10"/>
      <c r="X1037" s="10"/>
      <c r="Y1037" s="10"/>
    </row>
    <row r="1038">
      <c r="A1038" s="10"/>
      <c r="B1038" s="11"/>
      <c r="C1038" s="10"/>
      <c r="D1038" s="9"/>
      <c r="E1038" s="10"/>
      <c r="F1038" s="10"/>
      <c r="G1038" s="10"/>
      <c r="H1038" s="10"/>
      <c r="I1038" s="10"/>
      <c r="J1038" s="10"/>
      <c r="K1038" s="10"/>
      <c r="L1038" s="10"/>
      <c r="M1038" s="11"/>
      <c r="N1038" s="10"/>
      <c r="O1038" s="10"/>
      <c r="P1038" s="11"/>
      <c r="Q1038" s="10"/>
      <c r="R1038" s="11"/>
      <c r="S1038" s="10"/>
      <c r="T1038" s="10"/>
      <c r="U1038" s="10"/>
      <c r="V1038" s="10"/>
      <c r="W1038" s="10"/>
      <c r="X1038" s="10"/>
      <c r="Y1038" s="10"/>
    </row>
    <row r="1039">
      <c r="A1039" s="10"/>
      <c r="B1039" s="11"/>
      <c r="C1039" s="10"/>
      <c r="D1039" s="9"/>
      <c r="E1039" s="10"/>
      <c r="F1039" s="10"/>
      <c r="G1039" s="10"/>
      <c r="H1039" s="10"/>
      <c r="I1039" s="10"/>
      <c r="J1039" s="10"/>
      <c r="K1039" s="10"/>
      <c r="L1039" s="10"/>
      <c r="M1039" s="11"/>
      <c r="N1039" s="10"/>
      <c r="O1039" s="10"/>
      <c r="P1039" s="11"/>
      <c r="Q1039" s="10"/>
      <c r="R1039" s="11"/>
      <c r="S1039" s="10"/>
      <c r="T1039" s="10"/>
      <c r="U1039" s="10"/>
      <c r="V1039" s="10"/>
      <c r="W1039" s="10"/>
      <c r="X1039" s="10"/>
      <c r="Y1039" s="10"/>
    </row>
    <row r="1040">
      <c r="A1040" s="10"/>
      <c r="B1040" s="11"/>
      <c r="C1040" s="10"/>
      <c r="D1040" s="9"/>
      <c r="E1040" s="10"/>
      <c r="F1040" s="10"/>
      <c r="G1040" s="10"/>
      <c r="H1040" s="10"/>
      <c r="I1040" s="10"/>
      <c r="J1040" s="10"/>
      <c r="K1040" s="10"/>
      <c r="L1040" s="10"/>
      <c r="M1040" s="11"/>
      <c r="N1040" s="10"/>
      <c r="O1040" s="10"/>
      <c r="P1040" s="11"/>
      <c r="Q1040" s="10"/>
      <c r="R1040" s="11"/>
      <c r="S1040" s="10"/>
      <c r="T1040" s="10"/>
      <c r="U1040" s="10"/>
      <c r="V1040" s="10"/>
      <c r="W1040" s="10"/>
      <c r="X1040" s="10"/>
      <c r="Y1040" s="10"/>
    </row>
    <row r="1041">
      <c r="A1041" s="10"/>
      <c r="B1041" s="11"/>
      <c r="C1041" s="10"/>
      <c r="D1041" s="9"/>
      <c r="E1041" s="10"/>
      <c r="F1041" s="10"/>
      <c r="G1041" s="10"/>
      <c r="H1041" s="10"/>
      <c r="I1041" s="10"/>
      <c r="J1041" s="10"/>
      <c r="K1041" s="10"/>
      <c r="L1041" s="10"/>
      <c r="M1041" s="11"/>
      <c r="N1041" s="10"/>
      <c r="O1041" s="10"/>
      <c r="P1041" s="11"/>
      <c r="Q1041" s="10"/>
      <c r="R1041" s="11"/>
      <c r="S1041" s="10"/>
      <c r="T1041" s="10"/>
      <c r="U1041" s="10"/>
      <c r="V1041" s="10"/>
      <c r="W1041" s="10"/>
      <c r="X1041" s="10"/>
      <c r="Y1041" s="10"/>
    </row>
    <row r="1042">
      <c r="A1042" s="10"/>
      <c r="B1042" s="11"/>
      <c r="C1042" s="10"/>
      <c r="D1042" s="9"/>
      <c r="E1042" s="10"/>
      <c r="F1042" s="10"/>
      <c r="G1042" s="10"/>
      <c r="H1042" s="10"/>
      <c r="I1042" s="10"/>
      <c r="J1042" s="10"/>
      <c r="K1042" s="10"/>
      <c r="L1042" s="10"/>
      <c r="M1042" s="11"/>
      <c r="N1042" s="10"/>
      <c r="O1042" s="10"/>
      <c r="P1042" s="11"/>
      <c r="Q1042" s="10"/>
      <c r="R1042" s="11"/>
      <c r="S1042" s="10"/>
      <c r="T1042" s="10"/>
      <c r="U1042" s="10"/>
      <c r="V1042" s="10"/>
      <c r="W1042" s="10"/>
      <c r="X1042" s="10"/>
      <c r="Y1042" s="10"/>
    </row>
    <row r="1043">
      <c r="A1043" s="10"/>
      <c r="B1043" s="11"/>
      <c r="C1043" s="10"/>
      <c r="D1043" s="9"/>
      <c r="E1043" s="10"/>
      <c r="F1043" s="10"/>
      <c r="G1043" s="10"/>
      <c r="H1043" s="10"/>
      <c r="I1043" s="10"/>
      <c r="J1043" s="10"/>
      <c r="K1043" s="10"/>
      <c r="L1043" s="10"/>
      <c r="M1043" s="11"/>
      <c r="N1043" s="10"/>
      <c r="O1043" s="10"/>
      <c r="P1043" s="11"/>
      <c r="Q1043" s="10"/>
      <c r="R1043" s="11"/>
      <c r="S1043" s="10"/>
      <c r="T1043" s="10"/>
      <c r="U1043" s="10"/>
      <c r="V1043" s="10"/>
      <c r="W1043" s="10"/>
      <c r="X1043" s="10"/>
      <c r="Y1043" s="10"/>
    </row>
    <row r="1044">
      <c r="A1044" s="10"/>
      <c r="B1044" s="11"/>
      <c r="C1044" s="10"/>
      <c r="D1044" s="9"/>
      <c r="E1044" s="10"/>
      <c r="F1044" s="10"/>
      <c r="G1044" s="10"/>
      <c r="H1044" s="10"/>
      <c r="I1044" s="10"/>
      <c r="J1044" s="10"/>
      <c r="K1044" s="10"/>
      <c r="L1044" s="10"/>
      <c r="M1044" s="11"/>
      <c r="N1044" s="10"/>
      <c r="O1044" s="10"/>
      <c r="P1044" s="11"/>
      <c r="Q1044" s="10"/>
      <c r="R1044" s="11"/>
      <c r="S1044" s="10"/>
      <c r="T1044" s="10"/>
      <c r="U1044" s="10"/>
      <c r="V1044" s="10"/>
      <c r="W1044" s="10"/>
      <c r="X1044" s="10"/>
      <c r="Y1044" s="10"/>
    </row>
    <row r="1045">
      <c r="A1045" s="10"/>
      <c r="B1045" s="11"/>
      <c r="C1045" s="10"/>
      <c r="D1045" s="9"/>
      <c r="E1045" s="10"/>
      <c r="F1045" s="10"/>
      <c r="G1045" s="10"/>
      <c r="H1045" s="10"/>
      <c r="I1045" s="10"/>
      <c r="J1045" s="10"/>
      <c r="K1045" s="10"/>
      <c r="L1045" s="10"/>
      <c r="M1045" s="11"/>
      <c r="N1045" s="10"/>
      <c r="O1045" s="10"/>
      <c r="P1045" s="11"/>
      <c r="Q1045" s="10"/>
      <c r="R1045" s="11"/>
      <c r="S1045" s="10"/>
      <c r="T1045" s="10"/>
      <c r="U1045" s="10"/>
      <c r="V1045" s="10"/>
      <c r="W1045" s="10"/>
      <c r="X1045" s="10"/>
      <c r="Y1045" s="10"/>
    </row>
    <row r="1046">
      <c r="A1046" s="10"/>
      <c r="B1046" s="11"/>
      <c r="C1046" s="10"/>
      <c r="D1046" s="9"/>
      <c r="E1046" s="10"/>
      <c r="F1046" s="10"/>
      <c r="G1046" s="10"/>
      <c r="H1046" s="10"/>
      <c r="I1046" s="10"/>
      <c r="J1046" s="10"/>
      <c r="K1046" s="10"/>
      <c r="L1046" s="10"/>
      <c r="M1046" s="11"/>
      <c r="N1046" s="10"/>
      <c r="O1046" s="10"/>
      <c r="P1046" s="11"/>
      <c r="Q1046" s="10"/>
      <c r="R1046" s="11"/>
      <c r="S1046" s="10"/>
      <c r="T1046" s="10"/>
      <c r="U1046" s="10"/>
      <c r="V1046" s="10"/>
      <c r="W1046" s="10"/>
      <c r="X1046" s="10"/>
      <c r="Y1046" s="10"/>
    </row>
    <row r="1047">
      <c r="A1047" s="10"/>
      <c r="B1047" s="11"/>
      <c r="C1047" s="10"/>
      <c r="D1047" s="9"/>
      <c r="E1047" s="10"/>
      <c r="F1047" s="10"/>
      <c r="G1047" s="10"/>
      <c r="H1047" s="10"/>
      <c r="I1047" s="10"/>
      <c r="J1047" s="10"/>
      <c r="K1047" s="10"/>
      <c r="L1047" s="10"/>
      <c r="M1047" s="11"/>
      <c r="N1047" s="10"/>
      <c r="O1047" s="10"/>
      <c r="P1047" s="11"/>
      <c r="Q1047" s="10"/>
      <c r="R1047" s="11"/>
      <c r="S1047" s="10"/>
      <c r="T1047" s="10"/>
      <c r="U1047" s="10"/>
      <c r="V1047" s="10"/>
      <c r="W1047" s="10"/>
      <c r="X1047" s="10"/>
      <c r="Y1047" s="10"/>
    </row>
    <row r="1048">
      <c r="A1048" s="10"/>
      <c r="B1048" s="11"/>
      <c r="C1048" s="10"/>
      <c r="D1048" s="9"/>
      <c r="E1048" s="10"/>
      <c r="F1048" s="10"/>
      <c r="G1048" s="10"/>
      <c r="H1048" s="10"/>
      <c r="I1048" s="10"/>
      <c r="J1048" s="10"/>
      <c r="K1048" s="10"/>
      <c r="L1048" s="10"/>
      <c r="M1048" s="11"/>
      <c r="N1048" s="10"/>
      <c r="O1048" s="10"/>
      <c r="P1048" s="11"/>
      <c r="Q1048" s="10"/>
      <c r="R1048" s="11"/>
      <c r="S1048" s="10"/>
      <c r="T1048" s="10"/>
      <c r="U1048" s="10"/>
      <c r="V1048" s="10"/>
      <c r="W1048" s="10"/>
      <c r="X1048" s="10"/>
      <c r="Y1048" s="10"/>
    </row>
    <row r="1049">
      <c r="A1049" s="10"/>
      <c r="B1049" s="11"/>
      <c r="C1049" s="10"/>
      <c r="D1049" s="9"/>
      <c r="E1049" s="10"/>
      <c r="F1049" s="10"/>
      <c r="G1049" s="10"/>
      <c r="H1049" s="10"/>
      <c r="I1049" s="10"/>
      <c r="J1049" s="10"/>
      <c r="K1049" s="10"/>
      <c r="L1049" s="10"/>
      <c r="M1049" s="11"/>
      <c r="N1049" s="10"/>
      <c r="O1049" s="10"/>
      <c r="P1049" s="11"/>
      <c r="Q1049" s="10"/>
      <c r="R1049" s="11"/>
      <c r="S1049" s="10"/>
      <c r="T1049" s="10"/>
      <c r="U1049" s="10"/>
      <c r="V1049" s="10"/>
      <c r="W1049" s="10"/>
      <c r="X1049" s="10"/>
      <c r="Y1049" s="10"/>
    </row>
    <row r="1050">
      <c r="A1050" s="10"/>
      <c r="B1050" s="11"/>
      <c r="C1050" s="10"/>
      <c r="D1050" s="9"/>
      <c r="E1050" s="10"/>
      <c r="F1050" s="10"/>
      <c r="G1050" s="10"/>
      <c r="H1050" s="10"/>
      <c r="I1050" s="10"/>
      <c r="J1050" s="10"/>
      <c r="K1050" s="10"/>
      <c r="L1050" s="10"/>
      <c r="M1050" s="11"/>
      <c r="N1050" s="10"/>
      <c r="O1050" s="10"/>
      <c r="P1050" s="11"/>
      <c r="Q1050" s="10"/>
      <c r="R1050" s="11"/>
      <c r="S1050" s="10"/>
      <c r="T1050" s="10"/>
      <c r="U1050" s="10"/>
      <c r="V1050" s="10"/>
      <c r="W1050" s="10"/>
      <c r="X1050" s="10"/>
      <c r="Y1050" s="10"/>
    </row>
    <row r="1051">
      <c r="A1051" s="10"/>
      <c r="B1051" s="11"/>
      <c r="C1051" s="10"/>
      <c r="D1051" s="9"/>
      <c r="E1051" s="10"/>
      <c r="F1051" s="10"/>
      <c r="G1051" s="10"/>
      <c r="H1051" s="10"/>
      <c r="I1051" s="10"/>
      <c r="J1051" s="10"/>
      <c r="K1051" s="10"/>
      <c r="L1051" s="10"/>
      <c r="M1051" s="11"/>
      <c r="N1051" s="10"/>
      <c r="O1051" s="10"/>
      <c r="P1051" s="11"/>
      <c r="Q1051" s="10"/>
      <c r="R1051" s="11"/>
      <c r="S1051" s="10"/>
      <c r="T1051" s="10"/>
      <c r="U1051" s="10"/>
      <c r="V1051" s="10"/>
      <c r="W1051" s="10"/>
      <c r="X1051" s="10"/>
      <c r="Y1051" s="10"/>
    </row>
    <row r="1052">
      <c r="A1052" s="10"/>
      <c r="B1052" s="11"/>
      <c r="C1052" s="10"/>
      <c r="D1052" s="9"/>
      <c r="E1052" s="10"/>
      <c r="F1052" s="10"/>
      <c r="G1052" s="10"/>
      <c r="H1052" s="10"/>
      <c r="I1052" s="10"/>
      <c r="J1052" s="10"/>
      <c r="K1052" s="10"/>
      <c r="L1052" s="10"/>
      <c r="M1052" s="11"/>
      <c r="N1052" s="10"/>
      <c r="O1052" s="10"/>
      <c r="P1052" s="11"/>
      <c r="Q1052" s="10"/>
      <c r="R1052" s="11"/>
      <c r="S1052" s="10"/>
      <c r="T1052" s="10"/>
      <c r="U1052" s="10"/>
      <c r="V1052" s="10"/>
      <c r="W1052" s="10"/>
      <c r="X1052" s="10"/>
      <c r="Y1052" s="10"/>
    </row>
    <row r="1053">
      <c r="A1053" s="10"/>
      <c r="B1053" s="11"/>
      <c r="C1053" s="10"/>
      <c r="D1053" s="9"/>
      <c r="E1053" s="10"/>
      <c r="F1053" s="10"/>
      <c r="G1053" s="10"/>
      <c r="H1053" s="10"/>
      <c r="I1053" s="10"/>
      <c r="J1053" s="10"/>
      <c r="K1053" s="10"/>
      <c r="L1053" s="10"/>
      <c r="M1053" s="11"/>
      <c r="N1053" s="10"/>
      <c r="O1053" s="10"/>
      <c r="P1053" s="11"/>
      <c r="Q1053" s="10"/>
      <c r="R1053" s="11"/>
      <c r="S1053" s="10"/>
      <c r="T1053" s="10"/>
      <c r="U1053" s="10"/>
      <c r="V1053" s="10"/>
      <c r="W1053" s="10"/>
      <c r="X1053" s="10"/>
      <c r="Y1053" s="10"/>
    </row>
    <row r="1054">
      <c r="A1054" s="10"/>
      <c r="B1054" s="11"/>
      <c r="C1054" s="10"/>
      <c r="D1054" s="9"/>
      <c r="E1054" s="10"/>
      <c r="F1054" s="10"/>
      <c r="G1054" s="10"/>
      <c r="H1054" s="10"/>
      <c r="I1054" s="10"/>
      <c r="J1054" s="10"/>
      <c r="K1054" s="10"/>
      <c r="L1054" s="10"/>
      <c r="M1054" s="11"/>
      <c r="N1054" s="10"/>
      <c r="O1054" s="10"/>
      <c r="P1054" s="11"/>
      <c r="Q1054" s="10"/>
      <c r="R1054" s="11"/>
      <c r="S1054" s="10"/>
      <c r="T1054" s="10"/>
      <c r="U1054" s="10"/>
      <c r="V1054" s="10"/>
      <c r="W1054" s="10"/>
      <c r="X1054" s="10"/>
      <c r="Y1054" s="10"/>
    </row>
    <row r="1055">
      <c r="A1055" s="10"/>
      <c r="B1055" s="11"/>
      <c r="C1055" s="10"/>
      <c r="D1055" s="9"/>
      <c r="E1055" s="10"/>
      <c r="F1055" s="10"/>
      <c r="G1055" s="10"/>
      <c r="H1055" s="10"/>
      <c r="I1055" s="10"/>
      <c r="J1055" s="10"/>
      <c r="K1055" s="10"/>
      <c r="L1055" s="10"/>
      <c r="M1055" s="11"/>
      <c r="N1055" s="10"/>
      <c r="O1055" s="10"/>
      <c r="P1055" s="11"/>
      <c r="Q1055" s="10"/>
      <c r="R1055" s="11"/>
      <c r="S1055" s="10"/>
      <c r="T1055" s="10"/>
      <c r="U1055" s="10"/>
      <c r="V1055" s="10"/>
      <c r="W1055" s="10"/>
      <c r="X1055" s="10"/>
      <c r="Y1055" s="10"/>
    </row>
    <row r="1056">
      <c r="A1056" s="10"/>
      <c r="B1056" s="11"/>
      <c r="C1056" s="10"/>
      <c r="D1056" s="9"/>
      <c r="E1056" s="10"/>
      <c r="F1056" s="10"/>
      <c r="G1056" s="10"/>
      <c r="H1056" s="10"/>
      <c r="I1056" s="10"/>
      <c r="J1056" s="10"/>
      <c r="K1056" s="10"/>
      <c r="L1056" s="10"/>
      <c r="M1056" s="11"/>
      <c r="N1056" s="10"/>
      <c r="O1056" s="10"/>
      <c r="P1056" s="11"/>
      <c r="Q1056" s="10"/>
      <c r="R1056" s="11"/>
      <c r="S1056" s="10"/>
      <c r="T1056" s="10"/>
      <c r="U1056" s="10"/>
      <c r="V1056" s="10"/>
      <c r="W1056" s="10"/>
      <c r="X1056" s="10"/>
      <c r="Y1056" s="10"/>
    </row>
    <row r="1057">
      <c r="A1057" s="10"/>
      <c r="B1057" s="11"/>
      <c r="C1057" s="10"/>
      <c r="D1057" s="9"/>
      <c r="E1057" s="10"/>
      <c r="F1057" s="10"/>
      <c r="G1057" s="10"/>
      <c r="H1057" s="10"/>
      <c r="I1057" s="10"/>
      <c r="J1057" s="10"/>
      <c r="K1057" s="10"/>
      <c r="L1057" s="10"/>
      <c r="M1057" s="11"/>
      <c r="N1057" s="10"/>
      <c r="O1057" s="10"/>
      <c r="P1057" s="11"/>
      <c r="Q1057" s="10"/>
      <c r="R1057" s="11"/>
      <c r="S1057" s="10"/>
      <c r="T1057" s="10"/>
      <c r="U1057" s="10"/>
      <c r="V1057" s="10"/>
      <c r="W1057" s="10"/>
      <c r="X1057" s="10"/>
      <c r="Y1057" s="10"/>
    </row>
    <row r="1058">
      <c r="A1058" s="10"/>
      <c r="B1058" s="11"/>
      <c r="C1058" s="10"/>
      <c r="D1058" s="9"/>
      <c r="E1058" s="10"/>
      <c r="F1058" s="10"/>
      <c r="G1058" s="10"/>
      <c r="H1058" s="10"/>
      <c r="I1058" s="10"/>
      <c r="J1058" s="10"/>
      <c r="K1058" s="10"/>
      <c r="L1058" s="10"/>
      <c r="M1058" s="11"/>
      <c r="N1058" s="10"/>
      <c r="O1058" s="10"/>
      <c r="P1058" s="11"/>
      <c r="Q1058" s="10"/>
      <c r="R1058" s="11"/>
      <c r="S1058" s="10"/>
      <c r="T1058" s="10"/>
      <c r="U1058" s="10"/>
      <c r="V1058" s="10"/>
      <c r="W1058" s="10"/>
      <c r="X1058" s="10"/>
      <c r="Y1058" s="10"/>
    </row>
    <row r="1059">
      <c r="A1059" s="10"/>
      <c r="B1059" s="11"/>
      <c r="C1059" s="10"/>
      <c r="D1059" s="9"/>
      <c r="E1059" s="10"/>
      <c r="F1059" s="10"/>
      <c r="G1059" s="10"/>
      <c r="H1059" s="10"/>
      <c r="I1059" s="10"/>
      <c r="J1059" s="10"/>
      <c r="K1059" s="10"/>
      <c r="L1059" s="10"/>
      <c r="M1059" s="11"/>
      <c r="N1059" s="10"/>
      <c r="O1059" s="10"/>
      <c r="P1059" s="11"/>
      <c r="Q1059" s="10"/>
      <c r="R1059" s="11"/>
      <c r="S1059" s="10"/>
      <c r="T1059" s="10"/>
      <c r="U1059" s="10"/>
      <c r="V1059" s="10"/>
      <c r="W1059" s="10"/>
      <c r="X1059" s="10"/>
      <c r="Y1059" s="10"/>
    </row>
    <row r="1060">
      <c r="A1060" s="10"/>
      <c r="B1060" s="11"/>
      <c r="C1060" s="10"/>
      <c r="D1060" s="9"/>
      <c r="E1060" s="10"/>
      <c r="F1060" s="10"/>
      <c r="G1060" s="10"/>
      <c r="H1060" s="10"/>
      <c r="I1060" s="10"/>
      <c r="J1060" s="10"/>
      <c r="K1060" s="10"/>
      <c r="L1060" s="10"/>
      <c r="M1060" s="11"/>
      <c r="N1060" s="10"/>
      <c r="O1060" s="10"/>
      <c r="P1060" s="11"/>
      <c r="Q1060" s="10"/>
      <c r="R1060" s="11"/>
      <c r="S1060" s="10"/>
      <c r="T1060" s="10"/>
      <c r="U1060" s="10"/>
      <c r="V1060" s="10"/>
      <c r="W1060" s="10"/>
      <c r="X1060" s="10"/>
      <c r="Y1060" s="10"/>
    </row>
    <row r="1061">
      <c r="A1061" s="10"/>
      <c r="B1061" s="11"/>
      <c r="C1061" s="10"/>
      <c r="D1061" s="9"/>
      <c r="E1061" s="10"/>
      <c r="F1061" s="10"/>
      <c r="G1061" s="10"/>
      <c r="H1061" s="10"/>
      <c r="I1061" s="10"/>
      <c r="J1061" s="10"/>
      <c r="K1061" s="10"/>
      <c r="L1061" s="10"/>
      <c r="M1061" s="11"/>
      <c r="N1061" s="10"/>
      <c r="O1061" s="10"/>
      <c r="P1061" s="11"/>
      <c r="Q1061" s="10"/>
      <c r="R1061" s="11"/>
      <c r="S1061" s="10"/>
      <c r="T1061" s="10"/>
      <c r="U1061" s="10"/>
      <c r="V1061" s="10"/>
      <c r="W1061" s="10"/>
      <c r="X1061" s="10"/>
      <c r="Y1061" s="10"/>
    </row>
    <row r="1062">
      <c r="A1062" s="10"/>
      <c r="B1062" s="11"/>
      <c r="C1062" s="10"/>
      <c r="D1062" s="9"/>
      <c r="E1062" s="10"/>
      <c r="F1062" s="10"/>
      <c r="G1062" s="10"/>
      <c r="H1062" s="10"/>
      <c r="I1062" s="10"/>
      <c r="J1062" s="10"/>
      <c r="K1062" s="10"/>
      <c r="L1062" s="10"/>
      <c r="M1062" s="11"/>
      <c r="N1062" s="10"/>
      <c r="O1062" s="10"/>
      <c r="P1062" s="11"/>
      <c r="Q1062" s="10"/>
      <c r="R1062" s="11"/>
      <c r="S1062" s="10"/>
      <c r="T1062" s="10"/>
      <c r="U1062" s="10"/>
      <c r="V1062" s="10"/>
      <c r="W1062" s="10"/>
      <c r="X1062" s="10"/>
      <c r="Y1062" s="10"/>
    </row>
    <row r="1063">
      <c r="A1063" s="10"/>
      <c r="B1063" s="11"/>
      <c r="C1063" s="10"/>
      <c r="D1063" s="9"/>
      <c r="E1063" s="10"/>
      <c r="F1063" s="10"/>
      <c r="G1063" s="10"/>
      <c r="H1063" s="10"/>
      <c r="I1063" s="10"/>
      <c r="J1063" s="10"/>
      <c r="K1063" s="10"/>
      <c r="L1063" s="10"/>
      <c r="M1063" s="11"/>
      <c r="N1063" s="10"/>
      <c r="O1063" s="10"/>
      <c r="P1063" s="11"/>
      <c r="Q1063" s="10"/>
      <c r="R1063" s="11"/>
      <c r="S1063" s="10"/>
      <c r="T1063" s="10"/>
      <c r="U1063" s="10"/>
      <c r="V1063" s="10"/>
      <c r="W1063" s="10"/>
      <c r="X1063" s="10"/>
      <c r="Y1063" s="10"/>
    </row>
    <row r="1064">
      <c r="A1064" s="10"/>
      <c r="B1064" s="11"/>
      <c r="C1064" s="10"/>
      <c r="D1064" s="9"/>
      <c r="E1064" s="10"/>
      <c r="F1064" s="10"/>
      <c r="G1064" s="10"/>
      <c r="H1064" s="10"/>
      <c r="I1064" s="10"/>
      <c r="J1064" s="10"/>
      <c r="K1064" s="10"/>
      <c r="L1064" s="10"/>
      <c r="M1064" s="11"/>
      <c r="N1064" s="10"/>
      <c r="O1064" s="10"/>
      <c r="P1064" s="11"/>
      <c r="Q1064" s="10"/>
      <c r="R1064" s="11"/>
      <c r="S1064" s="10"/>
      <c r="T1064" s="10"/>
      <c r="U1064" s="10"/>
      <c r="V1064" s="10"/>
      <c r="W1064" s="10"/>
      <c r="X1064" s="10"/>
      <c r="Y1064" s="10"/>
    </row>
    <row r="1065">
      <c r="A1065" s="10"/>
      <c r="B1065" s="11"/>
      <c r="C1065" s="10"/>
      <c r="D1065" s="9"/>
      <c r="E1065" s="10"/>
      <c r="F1065" s="10"/>
      <c r="G1065" s="10"/>
      <c r="H1065" s="10"/>
      <c r="I1065" s="10"/>
      <c r="J1065" s="10"/>
      <c r="K1065" s="10"/>
      <c r="L1065" s="10"/>
      <c r="M1065" s="11"/>
      <c r="N1065" s="10"/>
      <c r="O1065" s="10"/>
      <c r="P1065" s="11"/>
      <c r="Q1065" s="10"/>
      <c r="R1065" s="11"/>
      <c r="S1065" s="10"/>
      <c r="T1065" s="10"/>
      <c r="U1065" s="10"/>
      <c r="V1065" s="10"/>
      <c r="W1065" s="10"/>
      <c r="X1065" s="10"/>
      <c r="Y1065" s="10"/>
    </row>
    <row r="1066">
      <c r="A1066" s="10"/>
      <c r="B1066" s="11"/>
      <c r="C1066" s="10"/>
      <c r="D1066" s="9"/>
      <c r="E1066" s="10"/>
      <c r="F1066" s="10"/>
      <c r="G1066" s="10"/>
      <c r="H1066" s="10"/>
      <c r="I1066" s="10"/>
      <c r="J1066" s="10"/>
      <c r="K1066" s="10"/>
      <c r="L1066" s="10"/>
      <c r="M1066" s="11"/>
      <c r="N1066" s="10"/>
      <c r="O1066" s="10"/>
      <c r="P1066" s="11"/>
      <c r="Q1066" s="10"/>
      <c r="R1066" s="11"/>
      <c r="S1066" s="10"/>
      <c r="T1066" s="10"/>
      <c r="U1066" s="10"/>
      <c r="V1066" s="10"/>
      <c r="W1066" s="10"/>
      <c r="X1066" s="10"/>
      <c r="Y1066" s="10"/>
    </row>
    <row r="1067">
      <c r="A1067" s="10"/>
      <c r="B1067" s="11"/>
      <c r="C1067" s="10"/>
      <c r="D1067" s="9"/>
      <c r="E1067" s="10"/>
      <c r="F1067" s="10"/>
      <c r="G1067" s="10"/>
      <c r="H1067" s="10"/>
      <c r="I1067" s="10"/>
      <c r="J1067" s="10"/>
      <c r="K1067" s="10"/>
      <c r="L1067" s="10"/>
      <c r="M1067" s="11"/>
      <c r="N1067" s="10"/>
      <c r="O1067" s="10"/>
      <c r="P1067" s="11"/>
      <c r="Q1067" s="10"/>
      <c r="R1067" s="11"/>
      <c r="S1067" s="10"/>
      <c r="T1067" s="10"/>
      <c r="U1067" s="10"/>
      <c r="V1067" s="10"/>
      <c r="W1067" s="10"/>
      <c r="X1067" s="10"/>
      <c r="Y1067" s="10"/>
    </row>
    <row r="1068">
      <c r="A1068" s="10"/>
      <c r="B1068" s="11"/>
      <c r="C1068" s="10"/>
      <c r="D1068" s="9"/>
      <c r="E1068" s="10"/>
      <c r="F1068" s="10"/>
      <c r="G1068" s="10"/>
      <c r="H1068" s="10"/>
      <c r="I1068" s="10"/>
      <c r="J1068" s="10"/>
      <c r="K1068" s="10"/>
      <c r="L1068" s="10"/>
      <c r="M1068" s="11"/>
      <c r="N1068" s="10"/>
      <c r="O1068" s="10"/>
      <c r="P1068" s="11"/>
      <c r="Q1068" s="10"/>
      <c r="R1068" s="11"/>
      <c r="S1068" s="10"/>
      <c r="T1068" s="10"/>
      <c r="U1068" s="10"/>
      <c r="V1068" s="10"/>
      <c r="W1068" s="10"/>
      <c r="X1068" s="10"/>
      <c r="Y1068" s="10"/>
    </row>
    <row r="1069">
      <c r="A1069" s="10"/>
      <c r="B1069" s="11"/>
      <c r="C1069" s="10"/>
      <c r="D1069" s="9"/>
      <c r="E1069" s="10"/>
      <c r="F1069" s="10"/>
      <c r="G1069" s="10"/>
      <c r="H1069" s="10"/>
      <c r="I1069" s="10"/>
      <c r="J1069" s="10"/>
      <c r="K1069" s="10"/>
      <c r="L1069" s="10"/>
      <c r="M1069" s="11"/>
      <c r="N1069" s="10"/>
      <c r="O1069" s="10"/>
      <c r="P1069" s="11"/>
      <c r="Q1069" s="10"/>
      <c r="R1069" s="11"/>
      <c r="S1069" s="10"/>
      <c r="T1069" s="10"/>
      <c r="U1069" s="10"/>
      <c r="V1069" s="10"/>
      <c r="W1069" s="10"/>
      <c r="X1069" s="10"/>
      <c r="Y1069" s="10"/>
    </row>
    <row r="1070">
      <c r="A1070" s="10"/>
      <c r="B1070" s="11"/>
      <c r="C1070" s="10"/>
      <c r="D1070" s="9"/>
      <c r="E1070" s="10"/>
      <c r="F1070" s="10"/>
      <c r="G1070" s="10"/>
      <c r="H1070" s="10"/>
      <c r="I1070" s="10"/>
      <c r="J1070" s="10"/>
      <c r="K1070" s="10"/>
      <c r="L1070" s="10"/>
      <c r="M1070" s="11"/>
      <c r="N1070" s="10"/>
      <c r="O1070" s="10"/>
      <c r="P1070" s="11"/>
      <c r="Q1070" s="10"/>
      <c r="R1070" s="11"/>
      <c r="S1070" s="10"/>
      <c r="T1070" s="10"/>
      <c r="U1070" s="10"/>
      <c r="V1070" s="10"/>
      <c r="W1070" s="10"/>
      <c r="X1070" s="10"/>
      <c r="Y1070" s="10"/>
    </row>
    <row r="1071">
      <c r="A1071" s="10"/>
      <c r="B1071" s="11"/>
      <c r="C1071" s="10"/>
      <c r="D1071" s="9"/>
      <c r="E1071" s="10"/>
      <c r="F1071" s="10"/>
      <c r="G1071" s="10"/>
      <c r="H1071" s="10"/>
      <c r="I1071" s="10"/>
      <c r="J1071" s="10"/>
      <c r="K1071" s="10"/>
      <c r="L1071" s="10"/>
      <c r="M1071" s="11"/>
      <c r="N1071" s="10"/>
      <c r="O1071" s="10"/>
      <c r="P1071" s="11"/>
      <c r="Q1071" s="10"/>
      <c r="R1071" s="11"/>
      <c r="S1071" s="10"/>
      <c r="T1071" s="10"/>
      <c r="U1071" s="10"/>
      <c r="V1071" s="10"/>
      <c r="W1071" s="10"/>
      <c r="X1071" s="10"/>
      <c r="Y1071" s="10"/>
    </row>
    <row r="1072">
      <c r="A1072" s="10"/>
      <c r="B1072" s="11"/>
      <c r="C1072" s="10"/>
      <c r="D1072" s="9"/>
      <c r="E1072" s="10"/>
      <c r="F1072" s="10"/>
      <c r="G1072" s="10"/>
      <c r="H1072" s="10"/>
      <c r="I1072" s="10"/>
      <c r="J1072" s="10"/>
      <c r="K1072" s="10"/>
      <c r="L1072" s="10"/>
      <c r="M1072" s="11"/>
      <c r="N1072" s="10"/>
      <c r="O1072" s="10"/>
      <c r="P1072" s="11"/>
      <c r="Q1072" s="10"/>
      <c r="R1072" s="11"/>
      <c r="S1072" s="10"/>
      <c r="T1072" s="10"/>
      <c r="U1072" s="10"/>
      <c r="V1072" s="10"/>
      <c r="W1072" s="10"/>
      <c r="X1072" s="10"/>
      <c r="Y1072" s="10"/>
    </row>
    <row r="1073">
      <c r="A1073" s="10"/>
      <c r="B1073" s="11"/>
      <c r="C1073" s="10"/>
      <c r="D1073" s="9"/>
      <c r="E1073" s="10"/>
      <c r="F1073" s="10"/>
      <c r="G1073" s="10"/>
      <c r="H1073" s="10"/>
      <c r="I1073" s="10"/>
      <c r="J1073" s="10"/>
      <c r="K1073" s="10"/>
      <c r="L1073" s="10"/>
      <c r="M1073" s="11"/>
      <c r="N1073" s="10"/>
      <c r="O1073" s="10"/>
      <c r="P1073" s="11"/>
      <c r="Q1073" s="10"/>
      <c r="R1073" s="11"/>
      <c r="S1073" s="10"/>
      <c r="T1073" s="10"/>
      <c r="U1073" s="10"/>
      <c r="V1073" s="10"/>
      <c r="W1073" s="10"/>
      <c r="X1073" s="10"/>
      <c r="Y1073" s="10"/>
    </row>
    <row r="1074">
      <c r="A1074" s="10"/>
      <c r="B1074" s="11"/>
      <c r="C1074" s="10"/>
      <c r="D1074" s="9"/>
      <c r="E1074" s="10"/>
      <c r="F1074" s="10"/>
      <c r="G1074" s="10"/>
      <c r="H1074" s="10"/>
      <c r="I1074" s="10"/>
      <c r="J1074" s="10"/>
      <c r="K1074" s="10"/>
      <c r="L1074" s="10"/>
      <c r="M1074" s="11"/>
      <c r="N1074" s="10"/>
      <c r="O1074" s="10"/>
      <c r="P1074" s="11"/>
      <c r="Q1074" s="10"/>
      <c r="R1074" s="11"/>
      <c r="S1074" s="10"/>
      <c r="T1074" s="10"/>
      <c r="U1074" s="10"/>
      <c r="V1074" s="10"/>
      <c r="W1074" s="10"/>
      <c r="X1074" s="10"/>
      <c r="Y1074" s="10"/>
    </row>
    <row r="1075">
      <c r="A1075" s="10"/>
      <c r="B1075" s="11"/>
      <c r="C1075" s="10"/>
      <c r="D1075" s="9"/>
      <c r="E1075" s="10"/>
      <c r="F1075" s="10"/>
      <c r="G1075" s="10"/>
      <c r="H1075" s="10"/>
      <c r="I1075" s="10"/>
      <c r="J1075" s="10"/>
      <c r="K1075" s="10"/>
      <c r="L1075" s="10"/>
      <c r="M1075" s="11"/>
      <c r="N1075" s="10"/>
      <c r="O1075" s="10"/>
      <c r="P1075" s="11"/>
      <c r="Q1075" s="10"/>
      <c r="R1075" s="11"/>
      <c r="S1075" s="10"/>
      <c r="T1075" s="10"/>
      <c r="U1075" s="10"/>
      <c r="V1075" s="10"/>
      <c r="W1075" s="10"/>
      <c r="X1075" s="10"/>
      <c r="Y1075" s="10"/>
    </row>
    <row r="1076">
      <c r="A1076" s="10"/>
      <c r="B1076" s="11"/>
      <c r="C1076" s="10"/>
      <c r="D1076" s="9"/>
      <c r="E1076" s="10"/>
      <c r="F1076" s="10"/>
      <c r="G1076" s="10"/>
      <c r="H1076" s="10"/>
      <c r="I1076" s="10"/>
      <c r="J1076" s="10"/>
      <c r="K1076" s="10"/>
      <c r="L1076" s="10"/>
      <c r="M1076" s="11"/>
      <c r="N1076" s="10"/>
      <c r="O1076" s="10"/>
      <c r="P1076" s="11"/>
      <c r="Q1076" s="10"/>
      <c r="R1076" s="11"/>
      <c r="S1076" s="10"/>
      <c r="T1076" s="10"/>
      <c r="U1076" s="10"/>
      <c r="V1076" s="10"/>
      <c r="W1076" s="10"/>
      <c r="X1076" s="10"/>
      <c r="Y1076" s="10"/>
    </row>
    <row r="1077">
      <c r="A1077" s="10"/>
      <c r="B1077" s="11"/>
      <c r="C1077" s="10"/>
      <c r="D1077" s="9"/>
      <c r="E1077" s="10"/>
      <c r="F1077" s="10"/>
      <c r="G1077" s="10"/>
      <c r="H1077" s="10"/>
      <c r="I1077" s="10"/>
      <c r="J1077" s="10"/>
      <c r="K1077" s="10"/>
      <c r="L1077" s="10"/>
      <c r="M1077" s="11"/>
      <c r="N1077" s="10"/>
      <c r="O1077" s="10"/>
      <c r="P1077" s="11"/>
      <c r="Q1077" s="10"/>
      <c r="R1077" s="11"/>
      <c r="S1077" s="10"/>
      <c r="T1077" s="10"/>
      <c r="U1077" s="10"/>
      <c r="V1077" s="10"/>
      <c r="W1077" s="10"/>
      <c r="X1077" s="10"/>
      <c r="Y1077" s="10"/>
    </row>
    <row r="1078">
      <c r="A1078" s="10"/>
      <c r="B1078" s="11"/>
      <c r="C1078" s="10"/>
      <c r="D1078" s="9"/>
      <c r="E1078" s="10"/>
      <c r="F1078" s="10"/>
      <c r="G1078" s="10"/>
      <c r="H1078" s="10"/>
      <c r="I1078" s="10"/>
      <c r="J1078" s="10"/>
      <c r="K1078" s="10"/>
      <c r="L1078" s="10"/>
      <c r="M1078" s="11"/>
      <c r="N1078" s="10"/>
      <c r="O1078" s="10"/>
      <c r="P1078" s="11"/>
      <c r="Q1078" s="10"/>
      <c r="R1078" s="11"/>
      <c r="S1078" s="10"/>
      <c r="T1078" s="10"/>
      <c r="U1078" s="10"/>
      <c r="V1078" s="10"/>
      <c r="W1078" s="10"/>
      <c r="X1078" s="10"/>
      <c r="Y1078" s="10"/>
    </row>
    <row r="1079">
      <c r="A1079" s="10"/>
      <c r="B1079" s="11"/>
      <c r="C1079" s="10"/>
      <c r="D1079" s="9"/>
      <c r="E1079" s="10"/>
      <c r="F1079" s="10"/>
      <c r="G1079" s="10"/>
      <c r="H1079" s="10"/>
      <c r="I1079" s="10"/>
      <c r="J1079" s="10"/>
      <c r="K1079" s="10"/>
      <c r="L1079" s="10"/>
      <c r="M1079" s="11"/>
      <c r="N1079" s="10"/>
      <c r="O1079" s="10"/>
      <c r="P1079" s="11"/>
      <c r="Q1079" s="10"/>
      <c r="R1079" s="11"/>
      <c r="S1079" s="10"/>
      <c r="T1079" s="10"/>
      <c r="U1079" s="10"/>
      <c r="V1079" s="10"/>
      <c r="W1079" s="10"/>
      <c r="X1079" s="10"/>
      <c r="Y1079" s="10"/>
    </row>
    <row r="1080">
      <c r="A1080" s="10"/>
      <c r="B1080" s="11"/>
      <c r="C1080" s="10"/>
      <c r="D1080" s="9"/>
      <c r="E1080" s="10"/>
      <c r="F1080" s="10"/>
      <c r="G1080" s="10"/>
      <c r="H1080" s="10"/>
      <c r="I1080" s="10"/>
      <c r="J1080" s="10"/>
      <c r="K1080" s="10"/>
      <c r="L1080" s="10"/>
      <c r="M1080" s="11"/>
      <c r="N1080" s="10"/>
      <c r="O1080" s="10"/>
      <c r="P1080" s="11"/>
      <c r="Q1080" s="10"/>
      <c r="R1080" s="11"/>
      <c r="S1080" s="10"/>
      <c r="T1080" s="10"/>
      <c r="U1080" s="10"/>
      <c r="V1080" s="10"/>
      <c r="W1080" s="10"/>
      <c r="X1080" s="10"/>
      <c r="Y1080" s="10"/>
    </row>
    <row r="1081">
      <c r="A1081" s="10"/>
      <c r="B1081" s="11"/>
      <c r="C1081" s="10"/>
      <c r="D1081" s="9"/>
      <c r="E1081" s="10"/>
      <c r="F1081" s="10"/>
      <c r="G1081" s="10"/>
      <c r="H1081" s="10"/>
      <c r="I1081" s="10"/>
      <c r="J1081" s="10"/>
      <c r="K1081" s="10"/>
      <c r="L1081" s="10"/>
      <c r="M1081" s="11"/>
      <c r="N1081" s="10"/>
      <c r="O1081" s="10"/>
      <c r="P1081" s="11"/>
      <c r="Q1081" s="10"/>
      <c r="R1081" s="11"/>
      <c r="S1081" s="10"/>
      <c r="T1081" s="10"/>
      <c r="U1081" s="10"/>
      <c r="V1081" s="10"/>
      <c r="W1081" s="10"/>
      <c r="X1081" s="10"/>
      <c r="Y1081" s="10"/>
    </row>
    <row r="1082">
      <c r="A1082" s="10"/>
      <c r="B1082" s="11"/>
      <c r="C1082" s="10"/>
      <c r="D1082" s="9"/>
      <c r="E1082" s="10"/>
      <c r="F1082" s="10"/>
      <c r="G1082" s="10"/>
      <c r="H1082" s="10"/>
      <c r="I1082" s="10"/>
      <c r="J1082" s="10"/>
      <c r="K1082" s="10"/>
      <c r="L1082" s="10"/>
      <c r="M1082" s="11"/>
      <c r="N1082" s="10"/>
      <c r="O1082" s="10"/>
      <c r="P1082" s="11"/>
      <c r="Q1082" s="10"/>
      <c r="R1082" s="11"/>
      <c r="S1082" s="10"/>
      <c r="T1082" s="10"/>
      <c r="U1082" s="10"/>
      <c r="V1082" s="10"/>
      <c r="W1082" s="10"/>
      <c r="X1082" s="10"/>
      <c r="Y1082" s="10"/>
    </row>
    <row r="1083">
      <c r="A1083" s="10"/>
      <c r="B1083" s="11"/>
      <c r="C1083" s="10"/>
      <c r="D1083" s="9"/>
      <c r="E1083" s="10"/>
      <c r="F1083" s="10"/>
      <c r="G1083" s="10"/>
      <c r="H1083" s="10"/>
      <c r="I1083" s="10"/>
      <c r="J1083" s="10"/>
      <c r="K1083" s="10"/>
      <c r="L1083" s="10"/>
      <c r="M1083" s="11"/>
      <c r="N1083" s="10"/>
      <c r="O1083" s="10"/>
      <c r="P1083" s="11"/>
      <c r="Q1083" s="10"/>
      <c r="R1083" s="11"/>
      <c r="S1083" s="10"/>
      <c r="T1083" s="10"/>
      <c r="U1083" s="10"/>
      <c r="V1083" s="10"/>
      <c r="W1083" s="10"/>
      <c r="X1083" s="10"/>
      <c r="Y1083" s="10"/>
    </row>
    <row r="1084">
      <c r="A1084" s="10"/>
      <c r="B1084" s="11"/>
      <c r="C1084" s="10"/>
      <c r="D1084" s="9"/>
      <c r="E1084" s="10"/>
      <c r="F1084" s="10"/>
      <c r="G1084" s="10"/>
      <c r="H1084" s="10"/>
      <c r="I1084" s="10"/>
      <c r="J1084" s="10"/>
      <c r="K1084" s="10"/>
      <c r="L1084" s="10"/>
      <c r="M1084" s="11"/>
      <c r="N1084" s="10"/>
      <c r="O1084" s="10"/>
      <c r="P1084" s="11"/>
      <c r="Q1084" s="10"/>
      <c r="R1084" s="11"/>
      <c r="S1084" s="10"/>
      <c r="T1084" s="10"/>
      <c r="U1084" s="10"/>
      <c r="V1084" s="10"/>
      <c r="W1084" s="10"/>
      <c r="X1084" s="10"/>
      <c r="Y1084" s="10"/>
    </row>
    <row r="1085">
      <c r="A1085" s="10"/>
      <c r="B1085" s="11"/>
      <c r="C1085" s="10"/>
      <c r="D1085" s="9"/>
      <c r="E1085" s="10"/>
      <c r="F1085" s="10"/>
      <c r="G1085" s="10"/>
      <c r="H1085" s="10"/>
      <c r="I1085" s="10"/>
      <c r="J1085" s="10"/>
      <c r="K1085" s="10"/>
      <c r="L1085" s="10"/>
      <c r="M1085" s="11"/>
      <c r="N1085" s="10"/>
      <c r="O1085" s="10"/>
      <c r="P1085" s="11"/>
      <c r="Q1085" s="10"/>
      <c r="R1085" s="11"/>
      <c r="S1085" s="10"/>
      <c r="T1085" s="10"/>
      <c r="U1085" s="10"/>
      <c r="V1085" s="10"/>
      <c r="W1085" s="10"/>
      <c r="X1085" s="10"/>
      <c r="Y1085" s="10"/>
    </row>
    <row r="1086">
      <c r="A1086" s="10"/>
      <c r="B1086" s="11"/>
      <c r="C1086" s="10"/>
      <c r="D1086" s="9"/>
      <c r="E1086" s="10"/>
      <c r="F1086" s="10"/>
      <c r="G1086" s="10"/>
      <c r="H1086" s="10"/>
      <c r="I1086" s="10"/>
      <c r="J1086" s="10"/>
      <c r="K1086" s="10"/>
      <c r="L1086" s="10"/>
      <c r="M1086" s="11"/>
      <c r="N1086" s="10"/>
      <c r="O1086" s="10"/>
      <c r="P1086" s="11"/>
      <c r="Q1086" s="10"/>
      <c r="R1086" s="11"/>
      <c r="S1086" s="10"/>
      <c r="T1086" s="10"/>
      <c r="U1086" s="10"/>
      <c r="V1086" s="10"/>
      <c r="W1086" s="10"/>
      <c r="X1086" s="10"/>
      <c r="Y1086" s="10"/>
    </row>
    <row r="1087">
      <c r="A1087" s="10"/>
      <c r="B1087" s="11"/>
      <c r="C1087" s="10"/>
      <c r="D1087" s="9"/>
      <c r="E1087" s="10"/>
      <c r="F1087" s="10"/>
      <c r="G1087" s="10"/>
      <c r="H1087" s="10"/>
      <c r="I1087" s="10"/>
      <c r="J1087" s="10"/>
      <c r="K1087" s="10"/>
      <c r="L1087" s="10"/>
      <c r="M1087" s="11"/>
      <c r="N1087" s="10"/>
      <c r="O1087" s="10"/>
      <c r="P1087" s="11"/>
      <c r="Q1087" s="10"/>
      <c r="R1087" s="11"/>
      <c r="S1087" s="10"/>
      <c r="T1087" s="10"/>
      <c r="U1087" s="10"/>
      <c r="V1087" s="10"/>
      <c r="W1087" s="10"/>
      <c r="X1087" s="10"/>
      <c r="Y1087" s="10"/>
    </row>
    <row r="1088">
      <c r="A1088" s="10"/>
      <c r="B1088" s="11"/>
      <c r="C1088" s="10"/>
      <c r="D1088" s="9"/>
      <c r="E1088" s="10"/>
      <c r="F1088" s="10"/>
      <c r="G1088" s="10"/>
      <c r="H1088" s="10"/>
      <c r="I1088" s="10"/>
      <c r="J1088" s="10"/>
      <c r="K1088" s="10"/>
      <c r="L1088" s="10"/>
      <c r="M1088" s="11"/>
      <c r="N1088" s="10"/>
      <c r="O1088" s="10"/>
      <c r="P1088" s="11"/>
      <c r="Q1088" s="10"/>
      <c r="R1088" s="11"/>
      <c r="S1088" s="10"/>
      <c r="T1088" s="10"/>
      <c r="U1088" s="10"/>
      <c r="V1088" s="10"/>
      <c r="W1088" s="10"/>
      <c r="X1088" s="10"/>
      <c r="Y1088" s="10"/>
    </row>
    <row r="1089">
      <c r="A1089" s="10"/>
      <c r="B1089" s="11"/>
      <c r="C1089" s="10"/>
      <c r="D1089" s="9"/>
      <c r="E1089" s="10"/>
      <c r="F1089" s="10"/>
      <c r="G1089" s="10"/>
      <c r="H1089" s="10"/>
      <c r="I1089" s="10"/>
      <c r="J1089" s="10"/>
      <c r="K1089" s="10"/>
      <c r="L1089" s="10"/>
      <c r="M1089" s="11"/>
      <c r="N1089" s="10"/>
      <c r="O1089" s="10"/>
      <c r="P1089" s="11"/>
      <c r="Q1089" s="10"/>
      <c r="R1089" s="11"/>
      <c r="S1089" s="10"/>
      <c r="T1089" s="10"/>
      <c r="U1089" s="10"/>
      <c r="V1089" s="10"/>
      <c r="W1089" s="10"/>
      <c r="X1089" s="10"/>
      <c r="Y1089" s="10"/>
    </row>
    <row r="1090">
      <c r="A1090" s="10"/>
      <c r="B1090" s="11"/>
      <c r="C1090" s="10"/>
      <c r="D1090" s="9"/>
      <c r="E1090" s="10"/>
      <c r="F1090" s="10"/>
      <c r="G1090" s="10"/>
      <c r="H1090" s="10"/>
      <c r="I1090" s="10"/>
      <c r="J1090" s="10"/>
      <c r="K1090" s="10"/>
      <c r="L1090" s="10"/>
      <c r="M1090" s="11"/>
      <c r="N1090" s="10"/>
      <c r="O1090" s="10"/>
      <c r="P1090" s="11"/>
      <c r="Q1090" s="10"/>
      <c r="R1090" s="11"/>
      <c r="S1090" s="10"/>
      <c r="T1090" s="10"/>
      <c r="U1090" s="10"/>
      <c r="V1090" s="10"/>
      <c r="W1090" s="10"/>
      <c r="X1090" s="10"/>
      <c r="Y1090" s="10"/>
    </row>
    <row r="1091">
      <c r="A1091" s="10"/>
      <c r="B1091" s="11"/>
      <c r="C1091" s="10"/>
      <c r="D1091" s="9"/>
      <c r="E1091" s="10"/>
      <c r="F1091" s="10"/>
      <c r="G1091" s="10"/>
      <c r="H1091" s="10"/>
      <c r="I1091" s="10"/>
      <c r="J1091" s="10"/>
      <c r="K1091" s="10"/>
      <c r="L1091" s="10"/>
      <c r="M1091" s="11"/>
      <c r="N1091" s="10"/>
      <c r="O1091" s="10"/>
      <c r="P1091" s="11"/>
      <c r="Q1091" s="10"/>
      <c r="R1091" s="11"/>
      <c r="S1091" s="10"/>
      <c r="T1091" s="10"/>
      <c r="U1091" s="10"/>
      <c r="V1091" s="10"/>
      <c r="W1091" s="10"/>
      <c r="X1091" s="10"/>
      <c r="Y1091" s="10"/>
    </row>
    <row r="1092">
      <c r="A1092" s="10"/>
      <c r="B1092" s="11"/>
      <c r="C1092" s="10"/>
      <c r="D1092" s="9"/>
      <c r="E1092" s="10"/>
      <c r="F1092" s="10"/>
      <c r="G1092" s="10"/>
      <c r="H1092" s="10"/>
      <c r="I1092" s="10"/>
      <c r="J1092" s="10"/>
      <c r="K1092" s="10"/>
      <c r="L1092" s="10"/>
      <c r="M1092" s="11"/>
      <c r="N1092" s="10"/>
      <c r="O1092" s="10"/>
      <c r="P1092" s="11"/>
      <c r="Q1092" s="10"/>
      <c r="R1092" s="11"/>
      <c r="S1092" s="10"/>
      <c r="T1092" s="10"/>
      <c r="U1092" s="10"/>
      <c r="V1092" s="10"/>
      <c r="W1092" s="10"/>
      <c r="X1092" s="10"/>
      <c r="Y1092" s="10"/>
    </row>
    <row r="1093">
      <c r="A1093" s="10"/>
      <c r="B1093" s="11"/>
      <c r="C1093" s="10"/>
      <c r="D1093" s="9"/>
      <c r="E1093" s="10"/>
      <c r="F1093" s="10"/>
      <c r="G1093" s="10"/>
      <c r="H1093" s="10"/>
      <c r="I1093" s="10"/>
      <c r="J1093" s="10"/>
      <c r="K1093" s="10"/>
      <c r="L1093" s="10"/>
      <c r="M1093" s="11"/>
      <c r="N1093" s="10"/>
      <c r="O1093" s="10"/>
      <c r="P1093" s="11"/>
      <c r="Q1093" s="10"/>
      <c r="R1093" s="11"/>
      <c r="S1093" s="10"/>
      <c r="T1093" s="10"/>
      <c r="U1093" s="10"/>
      <c r="V1093" s="10"/>
      <c r="W1093" s="10"/>
      <c r="X1093" s="10"/>
      <c r="Y1093" s="10"/>
    </row>
    <row r="1094">
      <c r="A1094" s="10"/>
      <c r="B1094" s="11"/>
      <c r="C1094" s="10"/>
      <c r="D1094" s="9"/>
      <c r="E1094" s="10"/>
      <c r="F1094" s="10"/>
      <c r="G1094" s="10"/>
      <c r="H1094" s="10"/>
      <c r="I1094" s="10"/>
      <c r="J1094" s="10"/>
      <c r="K1094" s="10"/>
      <c r="L1094" s="10"/>
      <c r="M1094" s="11"/>
      <c r="N1094" s="10"/>
      <c r="O1094" s="10"/>
      <c r="P1094" s="11"/>
      <c r="Q1094" s="10"/>
      <c r="R1094" s="11"/>
      <c r="S1094" s="10"/>
      <c r="T1094" s="10"/>
      <c r="U1094" s="10"/>
      <c r="V1094" s="10"/>
      <c r="W1094" s="10"/>
      <c r="X1094" s="10"/>
      <c r="Y1094" s="10"/>
    </row>
    <row r="1095">
      <c r="A1095" s="10"/>
      <c r="B1095" s="11"/>
      <c r="C1095" s="10"/>
      <c r="D1095" s="9"/>
      <c r="E1095" s="10"/>
      <c r="F1095" s="10"/>
      <c r="G1095" s="10"/>
      <c r="H1095" s="10"/>
      <c r="I1095" s="10"/>
      <c r="J1095" s="10"/>
      <c r="K1095" s="10"/>
      <c r="L1095" s="10"/>
      <c r="M1095" s="11"/>
      <c r="N1095" s="10"/>
      <c r="O1095" s="10"/>
      <c r="P1095" s="11"/>
      <c r="Q1095" s="10"/>
      <c r="R1095" s="11"/>
      <c r="S1095" s="10"/>
      <c r="T1095" s="10"/>
      <c r="U1095" s="10"/>
      <c r="V1095" s="10"/>
      <c r="W1095" s="10"/>
      <c r="X1095" s="10"/>
      <c r="Y1095" s="10"/>
    </row>
    <row r="1096">
      <c r="A1096" s="10"/>
      <c r="B1096" s="11"/>
      <c r="C1096" s="10"/>
      <c r="D1096" s="9"/>
      <c r="E1096" s="10"/>
      <c r="F1096" s="10"/>
      <c r="G1096" s="10"/>
      <c r="H1096" s="10"/>
      <c r="I1096" s="10"/>
      <c r="J1096" s="10"/>
      <c r="K1096" s="10"/>
      <c r="L1096" s="10"/>
      <c r="M1096" s="11"/>
      <c r="N1096" s="10"/>
      <c r="O1096" s="10"/>
      <c r="P1096" s="11"/>
      <c r="Q1096" s="10"/>
      <c r="R1096" s="11"/>
      <c r="S1096" s="10"/>
      <c r="T1096" s="10"/>
      <c r="U1096" s="10"/>
      <c r="V1096" s="10"/>
      <c r="W1096" s="10"/>
      <c r="X1096" s="10"/>
      <c r="Y1096" s="10"/>
    </row>
    <row r="1097">
      <c r="A1097" s="10"/>
      <c r="B1097" s="11"/>
      <c r="C1097" s="10"/>
      <c r="D1097" s="9"/>
      <c r="E1097" s="10"/>
      <c r="F1097" s="10"/>
      <c r="G1097" s="10"/>
      <c r="H1097" s="10"/>
      <c r="I1097" s="10"/>
      <c r="J1097" s="10"/>
      <c r="K1097" s="10"/>
      <c r="L1097" s="10"/>
      <c r="M1097" s="11"/>
      <c r="N1097" s="10"/>
      <c r="O1097" s="10"/>
      <c r="P1097" s="11"/>
      <c r="Q1097" s="10"/>
      <c r="R1097" s="11"/>
      <c r="S1097" s="10"/>
      <c r="T1097" s="10"/>
      <c r="U1097" s="10"/>
      <c r="V1097" s="10"/>
      <c r="W1097" s="10"/>
      <c r="X1097" s="10"/>
      <c r="Y1097" s="10"/>
    </row>
    <row r="1098">
      <c r="A1098" s="10"/>
      <c r="B1098" s="11"/>
      <c r="C1098" s="10"/>
      <c r="D1098" s="9"/>
      <c r="E1098" s="10"/>
      <c r="F1098" s="10"/>
      <c r="G1098" s="10"/>
      <c r="H1098" s="10"/>
      <c r="I1098" s="10"/>
      <c r="J1098" s="10"/>
      <c r="K1098" s="10"/>
      <c r="L1098" s="10"/>
      <c r="M1098" s="11"/>
      <c r="N1098" s="10"/>
      <c r="O1098" s="10"/>
      <c r="P1098" s="11"/>
      <c r="Q1098" s="10"/>
      <c r="R1098" s="11"/>
      <c r="S1098" s="10"/>
      <c r="T1098" s="10"/>
      <c r="U1098" s="10"/>
      <c r="V1098" s="10"/>
      <c r="W1098" s="10"/>
      <c r="X1098" s="10"/>
      <c r="Y1098" s="10"/>
    </row>
    <row r="1099">
      <c r="A1099" s="10"/>
      <c r="B1099" s="11"/>
      <c r="C1099" s="10"/>
      <c r="D1099" s="9"/>
      <c r="E1099" s="10"/>
      <c r="F1099" s="10"/>
      <c r="G1099" s="10"/>
      <c r="H1099" s="10"/>
      <c r="I1099" s="10"/>
      <c r="J1099" s="10"/>
      <c r="K1099" s="10"/>
      <c r="L1099" s="10"/>
      <c r="M1099" s="11"/>
      <c r="N1099" s="10"/>
      <c r="O1099" s="10"/>
      <c r="P1099" s="11"/>
      <c r="Q1099" s="10"/>
      <c r="R1099" s="11"/>
      <c r="S1099" s="10"/>
      <c r="T1099" s="10"/>
      <c r="U1099" s="10"/>
      <c r="V1099" s="10"/>
      <c r="W1099" s="10"/>
      <c r="X1099" s="10"/>
      <c r="Y1099" s="10"/>
    </row>
    <row r="1100">
      <c r="A1100" s="10"/>
      <c r="B1100" s="11"/>
      <c r="C1100" s="10"/>
      <c r="D1100" s="9"/>
      <c r="E1100" s="10"/>
      <c r="F1100" s="10"/>
      <c r="G1100" s="10"/>
      <c r="H1100" s="10"/>
      <c r="I1100" s="10"/>
      <c r="J1100" s="10"/>
      <c r="K1100" s="10"/>
      <c r="L1100" s="10"/>
      <c r="M1100" s="11"/>
      <c r="N1100" s="10"/>
      <c r="O1100" s="10"/>
      <c r="P1100" s="11"/>
      <c r="Q1100" s="10"/>
      <c r="R1100" s="11"/>
      <c r="S1100" s="10"/>
      <c r="T1100" s="10"/>
      <c r="U1100" s="10"/>
      <c r="V1100" s="10"/>
      <c r="W1100" s="10"/>
      <c r="X1100" s="10"/>
      <c r="Y1100" s="10"/>
    </row>
    <row r="1101">
      <c r="A1101" s="10"/>
      <c r="B1101" s="11"/>
      <c r="C1101" s="10"/>
      <c r="D1101" s="9"/>
      <c r="E1101" s="10"/>
      <c r="F1101" s="10"/>
      <c r="G1101" s="10"/>
      <c r="H1101" s="10"/>
      <c r="I1101" s="10"/>
      <c r="J1101" s="10"/>
      <c r="K1101" s="10"/>
      <c r="L1101" s="10"/>
      <c r="M1101" s="11"/>
      <c r="N1101" s="10"/>
      <c r="O1101" s="10"/>
      <c r="P1101" s="11"/>
      <c r="Q1101" s="10"/>
      <c r="R1101" s="11"/>
      <c r="S1101" s="10"/>
      <c r="T1101" s="10"/>
      <c r="U1101" s="10"/>
      <c r="V1101" s="10"/>
      <c r="W1101" s="10"/>
      <c r="X1101" s="10"/>
      <c r="Y1101" s="10"/>
    </row>
    <row r="1102">
      <c r="A1102" s="10"/>
      <c r="B1102" s="11"/>
      <c r="C1102" s="10"/>
      <c r="D1102" s="9"/>
      <c r="E1102" s="10"/>
      <c r="F1102" s="10"/>
      <c r="G1102" s="10"/>
      <c r="H1102" s="10"/>
      <c r="I1102" s="10"/>
      <c r="J1102" s="10"/>
      <c r="K1102" s="10"/>
      <c r="L1102" s="10"/>
      <c r="M1102" s="11"/>
      <c r="N1102" s="10"/>
      <c r="O1102" s="10"/>
      <c r="P1102" s="11"/>
      <c r="Q1102" s="10"/>
      <c r="R1102" s="11"/>
      <c r="S1102" s="10"/>
      <c r="T1102" s="10"/>
      <c r="U1102" s="10"/>
      <c r="V1102" s="10"/>
      <c r="W1102" s="10"/>
      <c r="X1102" s="10"/>
      <c r="Y1102" s="10"/>
    </row>
    <row r="1103">
      <c r="A1103" s="10"/>
      <c r="B1103" s="11"/>
      <c r="C1103" s="10"/>
      <c r="D1103" s="9"/>
      <c r="E1103" s="10"/>
      <c r="F1103" s="10"/>
      <c r="G1103" s="10"/>
      <c r="H1103" s="10"/>
      <c r="I1103" s="10"/>
      <c r="J1103" s="10"/>
      <c r="K1103" s="10"/>
      <c r="L1103" s="10"/>
      <c r="M1103" s="11"/>
      <c r="N1103" s="10"/>
      <c r="O1103" s="10"/>
      <c r="P1103" s="11"/>
      <c r="Q1103" s="10"/>
      <c r="R1103" s="11"/>
      <c r="S1103" s="10"/>
      <c r="T1103" s="10"/>
      <c r="U1103" s="10"/>
      <c r="V1103" s="10"/>
      <c r="W1103" s="10"/>
      <c r="X1103" s="10"/>
      <c r="Y1103" s="10"/>
    </row>
    <row r="1104">
      <c r="A1104" s="10"/>
      <c r="B1104" s="11"/>
      <c r="C1104" s="10"/>
      <c r="D1104" s="9"/>
      <c r="E1104" s="10"/>
      <c r="F1104" s="10"/>
      <c r="G1104" s="10"/>
      <c r="H1104" s="10"/>
      <c r="I1104" s="10"/>
      <c r="J1104" s="10"/>
      <c r="K1104" s="10"/>
      <c r="L1104" s="10"/>
      <c r="M1104" s="11"/>
      <c r="N1104" s="10"/>
      <c r="O1104" s="10"/>
      <c r="P1104" s="11"/>
      <c r="Q1104" s="10"/>
      <c r="R1104" s="11"/>
      <c r="S1104" s="10"/>
      <c r="T1104" s="10"/>
      <c r="U1104" s="10"/>
      <c r="V1104" s="10"/>
      <c r="W1104" s="10"/>
      <c r="X1104" s="10"/>
      <c r="Y1104" s="10"/>
    </row>
    <row r="1105">
      <c r="A1105" s="10"/>
      <c r="B1105" s="11"/>
      <c r="C1105" s="10"/>
      <c r="D1105" s="9"/>
      <c r="E1105" s="10"/>
      <c r="F1105" s="10"/>
      <c r="G1105" s="10"/>
      <c r="H1105" s="10"/>
      <c r="I1105" s="10"/>
      <c r="J1105" s="10"/>
      <c r="K1105" s="10"/>
      <c r="L1105" s="10"/>
      <c r="M1105" s="11"/>
      <c r="N1105" s="10"/>
      <c r="O1105" s="10"/>
      <c r="P1105" s="11"/>
      <c r="Q1105" s="10"/>
      <c r="R1105" s="11"/>
      <c r="S1105" s="10"/>
      <c r="T1105" s="10"/>
      <c r="U1105" s="10"/>
      <c r="V1105" s="10"/>
      <c r="W1105" s="10"/>
      <c r="X1105" s="10"/>
      <c r="Y1105" s="10"/>
    </row>
    <row r="1106">
      <c r="A1106" s="10"/>
      <c r="B1106" s="11"/>
      <c r="C1106" s="10"/>
      <c r="D1106" s="9"/>
      <c r="E1106" s="10"/>
      <c r="F1106" s="10"/>
      <c r="G1106" s="10"/>
      <c r="H1106" s="10"/>
      <c r="I1106" s="10"/>
      <c r="J1106" s="10"/>
      <c r="K1106" s="10"/>
      <c r="L1106" s="10"/>
      <c r="M1106" s="11"/>
      <c r="N1106" s="10"/>
      <c r="O1106" s="10"/>
      <c r="P1106" s="11"/>
      <c r="Q1106" s="10"/>
      <c r="R1106" s="11"/>
      <c r="S1106" s="10"/>
      <c r="T1106" s="10"/>
      <c r="U1106" s="10"/>
      <c r="V1106" s="10"/>
      <c r="W1106" s="10"/>
      <c r="X1106" s="10"/>
      <c r="Y1106" s="10"/>
    </row>
    <row r="1107">
      <c r="A1107" s="10"/>
      <c r="B1107" s="11"/>
      <c r="C1107" s="10"/>
      <c r="D1107" s="9"/>
      <c r="E1107" s="10"/>
      <c r="F1107" s="10"/>
      <c r="G1107" s="10"/>
      <c r="H1107" s="10"/>
      <c r="I1107" s="10"/>
      <c r="J1107" s="10"/>
      <c r="K1107" s="10"/>
      <c r="L1107" s="10"/>
      <c r="M1107" s="11"/>
      <c r="N1107" s="10"/>
      <c r="O1107" s="10"/>
      <c r="P1107" s="11"/>
      <c r="Q1107" s="10"/>
      <c r="R1107" s="11"/>
      <c r="S1107" s="10"/>
      <c r="T1107" s="10"/>
      <c r="U1107" s="10"/>
      <c r="V1107" s="10"/>
      <c r="W1107" s="10"/>
      <c r="X1107" s="10"/>
      <c r="Y1107" s="10"/>
    </row>
    <row r="1108">
      <c r="A1108" s="10"/>
      <c r="B1108" s="11"/>
      <c r="C1108" s="10"/>
      <c r="D1108" s="9"/>
      <c r="E1108" s="10"/>
      <c r="F1108" s="10"/>
      <c r="G1108" s="10"/>
      <c r="H1108" s="10"/>
      <c r="I1108" s="10"/>
      <c r="J1108" s="10"/>
      <c r="K1108" s="10"/>
      <c r="L1108" s="10"/>
      <c r="M1108" s="11"/>
      <c r="N1108" s="10"/>
      <c r="O1108" s="10"/>
      <c r="P1108" s="11"/>
      <c r="Q1108" s="10"/>
      <c r="R1108" s="11"/>
      <c r="S1108" s="10"/>
      <c r="T1108" s="10"/>
      <c r="U1108" s="10"/>
      <c r="V1108" s="10"/>
      <c r="W1108" s="10"/>
      <c r="X1108" s="10"/>
      <c r="Y1108" s="10"/>
    </row>
    <row r="1109">
      <c r="A1109" s="10"/>
      <c r="B1109" s="11"/>
      <c r="C1109" s="10"/>
      <c r="D1109" s="9"/>
      <c r="E1109" s="10"/>
      <c r="F1109" s="10"/>
      <c r="G1109" s="10"/>
      <c r="H1109" s="10"/>
      <c r="I1109" s="10"/>
      <c r="J1109" s="10"/>
      <c r="K1109" s="10"/>
      <c r="L1109" s="10"/>
      <c r="M1109" s="11"/>
      <c r="N1109" s="10"/>
      <c r="O1109" s="10"/>
      <c r="P1109" s="11"/>
      <c r="Q1109" s="10"/>
      <c r="R1109" s="11"/>
      <c r="S1109" s="10"/>
      <c r="T1109" s="10"/>
      <c r="U1109" s="10"/>
      <c r="V1109" s="10"/>
      <c r="W1109" s="10"/>
      <c r="X1109" s="10"/>
      <c r="Y1109" s="10"/>
    </row>
    <row r="1110">
      <c r="A1110" s="10"/>
      <c r="B1110" s="11"/>
      <c r="C1110" s="10"/>
      <c r="D1110" s="9"/>
      <c r="E1110" s="10"/>
      <c r="F1110" s="10"/>
      <c r="G1110" s="10"/>
      <c r="H1110" s="10"/>
      <c r="I1110" s="10"/>
      <c r="J1110" s="10"/>
      <c r="K1110" s="10"/>
      <c r="L1110" s="10"/>
      <c r="M1110" s="11"/>
      <c r="N1110" s="10"/>
      <c r="O1110" s="10"/>
      <c r="P1110" s="11"/>
      <c r="Q1110" s="10"/>
      <c r="R1110" s="11"/>
      <c r="S1110" s="10"/>
      <c r="T1110" s="10"/>
      <c r="U1110" s="10"/>
      <c r="V1110" s="10"/>
      <c r="W1110" s="10"/>
      <c r="X1110" s="10"/>
      <c r="Y1110" s="10"/>
    </row>
    <row r="1111">
      <c r="A1111" s="10"/>
      <c r="B1111" s="11"/>
      <c r="C1111" s="10"/>
      <c r="D1111" s="9"/>
      <c r="E1111" s="10"/>
      <c r="F1111" s="10"/>
      <c r="G1111" s="10"/>
      <c r="H1111" s="10"/>
      <c r="I1111" s="10"/>
      <c r="J1111" s="10"/>
      <c r="K1111" s="10"/>
      <c r="L1111" s="10"/>
      <c r="M1111" s="11"/>
      <c r="N1111" s="10"/>
      <c r="O1111" s="10"/>
      <c r="P1111" s="11"/>
      <c r="Q1111" s="10"/>
      <c r="R1111" s="11"/>
      <c r="S1111" s="10"/>
      <c r="T1111" s="10"/>
      <c r="U1111" s="10"/>
      <c r="V1111" s="10"/>
      <c r="W1111" s="10"/>
      <c r="X1111" s="10"/>
      <c r="Y1111" s="10"/>
    </row>
    <row r="1112">
      <c r="A1112" s="10"/>
      <c r="B1112" s="11"/>
      <c r="C1112" s="10"/>
      <c r="D1112" s="9"/>
      <c r="E1112" s="10"/>
      <c r="F1112" s="10"/>
      <c r="G1112" s="10"/>
      <c r="H1112" s="10"/>
      <c r="I1112" s="10"/>
      <c r="J1112" s="10"/>
      <c r="K1112" s="10"/>
      <c r="L1112" s="10"/>
      <c r="M1112" s="11"/>
      <c r="N1112" s="10"/>
      <c r="O1112" s="10"/>
      <c r="P1112" s="11"/>
      <c r="Q1112" s="10"/>
      <c r="R1112" s="11"/>
      <c r="S1112" s="10"/>
      <c r="T1112" s="10"/>
      <c r="U1112" s="10"/>
      <c r="V1112" s="10"/>
      <c r="W1112" s="10"/>
      <c r="X1112" s="10"/>
      <c r="Y1112" s="10"/>
    </row>
    <row r="1113">
      <c r="A1113" s="10"/>
      <c r="B1113" s="11"/>
      <c r="C1113" s="10"/>
      <c r="D1113" s="9"/>
      <c r="E1113" s="10"/>
      <c r="F1113" s="10"/>
      <c r="G1113" s="10"/>
      <c r="H1113" s="10"/>
      <c r="I1113" s="10"/>
      <c r="J1113" s="10"/>
      <c r="K1113" s="10"/>
      <c r="L1113" s="10"/>
      <c r="M1113" s="11"/>
      <c r="N1113" s="10"/>
      <c r="O1113" s="10"/>
      <c r="P1113" s="11"/>
      <c r="Q1113" s="10"/>
      <c r="R1113" s="11"/>
      <c r="S1113" s="10"/>
      <c r="T1113" s="10"/>
      <c r="U1113" s="10"/>
      <c r="V1113" s="10"/>
      <c r="W1113" s="10"/>
      <c r="X1113" s="10"/>
      <c r="Y1113" s="10"/>
    </row>
    <row r="1114">
      <c r="A1114" s="10"/>
      <c r="B1114" s="11"/>
      <c r="C1114" s="10"/>
      <c r="D1114" s="9"/>
      <c r="E1114" s="10"/>
      <c r="F1114" s="10"/>
      <c r="G1114" s="10"/>
      <c r="H1114" s="10"/>
      <c r="I1114" s="10"/>
      <c r="J1114" s="10"/>
      <c r="K1114" s="10"/>
      <c r="L1114" s="10"/>
      <c r="M1114" s="11"/>
      <c r="N1114" s="10"/>
      <c r="O1114" s="10"/>
      <c r="P1114" s="11"/>
      <c r="Q1114" s="10"/>
      <c r="R1114" s="11"/>
      <c r="S1114" s="10"/>
      <c r="T1114" s="10"/>
      <c r="U1114" s="10"/>
      <c r="V1114" s="10"/>
      <c r="W1114" s="10"/>
      <c r="X1114" s="10"/>
      <c r="Y1114" s="10"/>
    </row>
    <row r="1115">
      <c r="A1115" s="10"/>
      <c r="B1115" s="11"/>
      <c r="C1115" s="10"/>
      <c r="D1115" s="9"/>
      <c r="E1115" s="10"/>
      <c r="F1115" s="10"/>
      <c r="G1115" s="10"/>
      <c r="H1115" s="10"/>
      <c r="I1115" s="10"/>
      <c r="J1115" s="10"/>
      <c r="K1115" s="10"/>
      <c r="L1115" s="10"/>
      <c r="M1115" s="11"/>
      <c r="N1115" s="10"/>
      <c r="O1115" s="10"/>
      <c r="P1115" s="11"/>
      <c r="Q1115" s="10"/>
      <c r="R1115" s="11"/>
      <c r="S1115" s="10"/>
      <c r="T1115" s="10"/>
      <c r="U1115" s="10"/>
      <c r="V1115" s="10"/>
      <c r="W1115" s="10"/>
      <c r="X1115" s="10"/>
      <c r="Y1115" s="10"/>
    </row>
    <row r="1116">
      <c r="A1116" s="10"/>
      <c r="B1116" s="11"/>
      <c r="C1116" s="10"/>
      <c r="D1116" s="9"/>
      <c r="E1116" s="10"/>
      <c r="F1116" s="10"/>
      <c r="G1116" s="10"/>
      <c r="H1116" s="10"/>
      <c r="I1116" s="10"/>
      <c r="J1116" s="10"/>
      <c r="K1116" s="10"/>
      <c r="L1116" s="10"/>
      <c r="M1116" s="11"/>
      <c r="N1116" s="10"/>
      <c r="O1116" s="10"/>
      <c r="P1116" s="11"/>
      <c r="Q1116" s="10"/>
      <c r="R1116" s="11"/>
      <c r="S1116" s="10"/>
      <c r="T1116" s="10"/>
      <c r="U1116" s="10"/>
      <c r="V1116" s="10"/>
      <c r="W1116" s="10"/>
      <c r="X1116" s="10"/>
      <c r="Y1116" s="10"/>
    </row>
    <row r="1117">
      <c r="A1117" s="10"/>
      <c r="B1117" s="11"/>
      <c r="C1117" s="10"/>
      <c r="D1117" s="9"/>
      <c r="E1117" s="10"/>
      <c r="F1117" s="10"/>
      <c r="G1117" s="10"/>
      <c r="H1117" s="10"/>
      <c r="I1117" s="10"/>
      <c r="J1117" s="10"/>
      <c r="K1117" s="10"/>
      <c r="L1117" s="10"/>
      <c r="M1117" s="11"/>
      <c r="N1117" s="10"/>
      <c r="O1117" s="10"/>
      <c r="P1117" s="11"/>
      <c r="Q1117" s="10"/>
      <c r="R1117" s="11"/>
      <c r="S1117" s="10"/>
      <c r="T1117" s="10"/>
      <c r="U1117" s="10"/>
      <c r="V1117" s="10"/>
      <c r="W1117" s="10"/>
      <c r="X1117" s="10"/>
      <c r="Y1117" s="10"/>
    </row>
    <row r="1118">
      <c r="A1118" s="10"/>
      <c r="B1118" s="11"/>
      <c r="C1118" s="10"/>
      <c r="D1118" s="9"/>
      <c r="E1118" s="10"/>
      <c r="F1118" s="10"/>
      <c r="G1118" s="10"/>
      <c r="H1118" s="10"/>
      <c r="I1118" s="10"/>
      <c r="J1118" s="10"/>
      <c r="K1118" s="10"/>
      <c r="L1118" s="10"/>
      <c r="M1118" s="11"/>
      <c r="N1118" s="10"/>
      <c r="O1118" s="10"/>
      <c r="P1118" s="11"/>
      <c r="Q1118" s="10"/>
      <c r="R1118" s="11"/>
      <c r="S1118" s="10"/>
      <c r="T1118" s="10"/>
      <c r="U1118" s="10"/>
      <c r="V1118" s="10"/>
      <c r="W1118" s="10"/>
      <c r="X1118" s="10"/>
      <c r="Y1118" s="10"/>
    </row>
    <row r="1119">
      <c r="A1119" s="10"/>
      <c r="B1119" s="11"/>
      <c r="C1119" s="10"/>
      <c r="D1119" s="9"/>
      <c r="E1119" s="10"/>
      <c r="F1119" s="10"/>
      <c r="G1119" s="10"/>
      <c r="H1119" s="10"/>
      <c r="I1119" s="10"/>
      <c r="J1119" s="10"/>
      <c r="K1119" s="10"/>
      <c r="L1119" s="10"/>
      <c r="M1119" s="11"/>
      <c r="N1119" s="10"/>
      <c r="O1119" s="10"/>
      <c r="P1119" s="11"/>
      <c r="Q1119" s="10"/>
      <c r="R1119" s="11"/>
      <c r="S1119" s="10"/>
      <c r="T1119" s="10"/>
      <c r="U1119" s="10"/>
      <c r="V1119" s="10"/>
      <c r="W1119" s="10"/>
      <c r="X1119" s="10"/>
      <c r="Y1119" s="10"/>
    </row>
    <row r="1120">
      <c r="A1120" s="10"/>
      <c r="B1120" s="11"/>
      <c r="C1120" s="10"/>
      <c r="D1120" s="9"/>
      <c r="E1120" s="10"/>
      <c r="F1120" s="10"/>
      <c r="G1120" s="10"/>
      <c r="H1120" s="10"/>
      <c r="I1120" s="10"/>
      <c r="J1120" s="10"/>
      <c r="K1120" s="10"/>
      <c r="L1120" s="10"/>
      <c r="M1120" s="11"/>
      <c r="N1120" s="10"/>
      <c r="O1120" s="10"/>
      <c r="P1120" s="11"/>
      <c r="Q1120" s="10"/>
      <c r="R1120" s="11"/>
      <c r="S1120" s="10"/>
      <c r="T1120" s="10"/>
      <c r="U1120" s="10"/>
      <c r="V1120" s="10"/>
      <c r="W1120" s="10"/>
      <c r="X1120" s="10"/>
      <c r="Y1120" s="10"/>
    </row>
    <row r="1121">
      <c r="A1121" s="10"/>
      <c r="B1121" s="11"/>
      <c r="C1121" s="10"/>
      <c r="D1121" s="9"/>
      <c r="E1121" s="10"/>
      <c r="F1121" s="10"/>
      <c r="G1121" s="10"/>
      <c r="H1121" s="10"/>
      <c r="I1121" s="10"/>
      <c r="J1121" s="10"/>
      <c r="K1121" s="10"/>
      <c r="L1121" s="10"/>
      <c r="M1121" s="11"/>
      <c r="N1121" s="10"/>
      <c r="O1121" s="10"/>
      <c r="P1121" s="11"/>
      <c r="Q1121" s="10"/>
      <c r="R1121" s="11"/>
      <c r="S1121" s="10"/>
      <c r="T1121" s="10"/>
      <c r="U1121" s="10"/>
      <c r="V1121" s="10"/>
      <c r="W1121" s="10"/>
      <c r="X1121" s="10"/>
      <c r="Y1121" s="10"/>
    </row>
    <row r="1122">
      <c r="A1122" s="10"/>
      <c r="B1122" s="11"/>
      <c r="C1122" s="10"/>
      <c r="D1122" s="9"/>
      <c r="E1122" s="10"/>
      <c r="F1122" s="10"/>
      <c r="G1122" s="10"/>
      <c r="H1122" s="10"/>
      <c r="I1122" s="10"/>
      <c r="J1122" s="10"/>
      <c r="K1122" s="10"/>
      <c r="L1122" s="10"/>
      <c r="M1122" s="11"/>
      <c r="N1122" s="10"/>
      <c r="O1122" s="10"/>
      <c r="P1122" s="11"/>
      <c r="Q1122" s="10"/>
      <c r="R1122" s="11"/>
      <c r="S1122" s="10"/>
      <c r="T1122" s="10"/>
      <c r="U1122" s="10"/>
      <c r="V1122" s="10"/>
      <c r="W1122" s="10"/>
      <c r="X1122" s="10"/>
      <c r="Y1122" s="10"/>
    </row>
    <row r="1123">
      <c r="A1123" s="10"/>
      <c r="B1123" s="11"/>
      <c r="C1123" s="10"/>
      <c r="D1123" s="9"/>
      <c r="E1123" s="10"/>
      <c r="F1123" s="10"/>
      <c r="G1123" s="10"/>
      <c r="H1123" s="10"/>
      <c r="I1123" s="10"/>
      <c r="J1123" s="10"/>
      <c r="K1123" s="10"/>
      <c r="L1123" s="10"/>
      <c r="M1123" s="11"/>
      <c r="N1123" s="10"/>
      <c r="O1123" s="10"/>
      <c r="P1123" s="11"/>
      <c r="Q1123" s="10"/>
      <c r="R1123" s="11"/>
      <c r="S1123" s="10"/>
      <c r="T1123" s="10"/>
      <c r="U1123" s="10"/>
      <c r="V1123" s="10"/>
      <c r="W1123" s="10"/>
      <c r="X1123" s="10"/>
      <c r="Y1123" s="10"/>
    </row>
    <row r="1124">
      <c r="A1124" s="10"/>
      <c r="B1124" s="11"/>
      <c r="C1124" s="10"/>
      <c r="D1124" s="9"/>
      <c r="E1124" s="10"/>
      <c r="F1124" s="10"/>
      <c r="G1124" s="10"/>
      <c r="H1124" s="10"/>
      <c r="I1124" s="10"/>
      <c r="J1124" s="10"/>
      <c r="K1124" s="10"/>
      <c r="L1124" s="10"/>
      <c r="M1124" s="11"/>
      <c r="N1124" s="10"/>
      <c r="O1124" s="10"/>
      <c r="P1124" s="11"/>
      <c r="Q1124" s="10"/>
      <c r="R1124" s="11"/>
      <c r="S1124" s="10"/>
      <c r="T1124" s="10"/>
      <c r="U1124" s="10"/>
      <c r="V1124" s="10"/>
      <c r="W1124" s="10"/>
      <c r="X1124" s="10"/>
      <c r="Y1124" s="10"/>
    </row>
    <row r="1125">
      <c r="A1125" s="10"/>
      <c r="B1125" s="11"/>
      <c r="C1125" s="10"/>
      <c r="D1125" s="9"/>
      <c r="E1125" s="10"/>
      <c r="F1125" s="10"/>
      <c r="G1125" s="10"/>
      <c r="H1125" s="10"/>
      <c r="I1125" s="10"/>
      <c r="J1125" s="10"/>
      <c r="K1125" s="10"/>
      <c r="L1125" s="10"/>
      <c r="M1125" s="11"/>
      <c r="N1125" s="10"/>
      <c r="O1125" s="10"/>
      <c r="P1125" s="11"/>
      <c r="Q1125" s="10"/>
      <c r="R1125" s="11"/>
      <c r="S1125" s="10"/>
      <c r="T1125" s="10"/>
      <c r="U1125" s="10"/>
      <c r="V1125" s="10"/>
      <c r="W1125" s="10"/>
      <c r="X1125" s="10"/>
      <c r="Y1125" s="10"/>
    </row>
    <row r="1126">
      <c r="A1126" s="10"/>
      <c r="B1126" s="11"/>
      <c r="C1126" s="10"/>
      <c r="D1126" s="9"/>
      <c r="E1126" s="10"/>
      <c r="F1126" s="10"/>
      <c r="G1126" s="10"/>
      <c r="H1126" s="10"/>
      <c r="I1126" s="10"/>
      <c r="J1126" s="10"/>
      <c r="K1126" s="10"/>
      <c r="L1126" s="10"/>
      <c r="M1126" s="11"/>
      <c r="N1126" s="10"/>
      <c r="O1126" s="10"/>
      <c r="P1126" s="11"/>
      <c r="Q1126" s="10"/>
      <c r="R1126" s="11"/>
      <c r="S1126" s="10"/>
      <c r="T1126" s="10"/>
      <c r="U1126" s="10"/>
      <c r="V1126" s="10"/>
      <c r="W1126" s="10"/>
      <c r="X1126" s="10"/>
      <c r="Y1126" s="10"/>
    </row>
    <row r="1127">
      <c r="A1127" s="10"/>
      <c r="B1127" s="11"/>
      <c r="C1127" s="10"/>
      <c r="D1127" s="9"/>
      <c r="E1127" s="10"/>
      <c r="F1127" s="10"/>
      <c r="G1127" s="10"/>
      <c r="H1127" s="10"/>
      <c r="I1127" s="10"/>
      <c r="J1127" s="10"/>
      <c r="K1127" s="10"/>
      <c r="L1127" s="10"/>
      <c r="M1127" s="11"/>
      <c r="N1127" s="10"/>
      <c r="O1127" s="10"/>
      <c r="P1127" s="11"/>
      <c r="Q1127" s="10"/>
      <c r="R1127" s="11"/>
      <c r="S1127" s="10"/>
      <c r="T1127" s="10"/>
      <c r="U1127" s="10"/>
      <c r="V1127" s="10"/>
      <c r="W1127" s="10"/>
      <c r="X1127" s="10"/>
      <c r="Y1127" s="10"/>
    </row>
    <row r="1128">
      <c r="A1128" s="10"/>
      <c r="B1128" s="11"/>
      <c r="C1128" s="10"/>
      <c r="D1128" s="9"/>
      <c r="E1128" s="10"/>
      <c r="F1128" s="10"/>
      <c r="G1128" s="10"/>
      <c r="H1128" s="10"/>
      <c r="I1128" s="10"/>
      <c r="J1128" s="10"/>
      <c r="K1128" s="10"/>
      <c r="L1128" s="10"/>
      <c r="M1128" s="11"/>
      <c r="N1128" s="10"/>
      <c r="O1128" s="10"/>
      <c r="P1128" s="11"/>
      <c r="Q1128" s="10"/>
      <c r="R1128" s="11"/>
      <c r="S1128" s="10"/>
      <c r="T1128" s="10"/>
      <c r="U1128" s="10"/>
      <c r="V1128" s="10"/>
      <c r="W1128" s="10"/>
      <c r="X1128" s="10"/>
      <c r="Y1128" s="10"/>
    </row>
    <row r="1129">
      <c r="A1129" s="10"/>
      <c r="B1129" s="11"/>
      <c r="C1129" s="10"/>
      <c r="D1129" s="9"/>
      <c r="E1129" s="10"/>
      <c r="F1129" s="10"/>
      <c r="G1129" s="10"/>
      <c r="H1129" s="10"/>
      <c r="I1129" s="10"/>
      <c r="J1129" s="10"/>
      <c r="K1129" s="10"/>
      <c r="L1129" s="10"/>
      <c r="M1129" s="11"/>
      <c r="N1129" s="10"/>
      <c r="O1129" s="10"/>
      <c r="P1129" s="11"/>
      <c r="Q1129" s="10"/>
      <c r="R1129" s="11"/>
      <c r="S1129" s="10"/>
      <c r="T1129" s="10"/>
      <c r="U1129" s="10"/>
      <c r="V1129" s="10"/>
      <c r="W1129" s="10"/>
      <c r="X1129" s="10"/>
      <c r="Y1129" s="10"/>
    </row>
    <row r="1130">
      <c r="A1130" s="10"/>
      <c r="B1130" s="11"/>
      <c r="C1130" s="10"/>
      <c r="D1130" s="9"/>
      <c r="E1130" s="10"/>
      <c r="F1130" s="10"/>
      <c r="G1130" s="10"/>
      <c r="H1130" s="10"/>
      <c r="I1130" s="10"/>
      <c r="J1130" s="10"/>
      <c r="K1130" s="10"/>
      <c r="L1130" s="10"/>
      <c r="M1130" s="11"/>
      <c r="N1130" s="10"/>
      <c r="O1130" s="10"/>
      <c r="P1130" s="11"/>
      <c r="Q1130" s="10"/>
      <c r="R1130" s="11"/>
      <c r="S1130" s="10"/>
      <c r="T1130" s="10"/>
      <c r="U1130" s="10"/>
      <c r="V1130" s="10"/>
      <c r="W1130" s="10"/>
      <c r="X1130" s="10"/>
      <c r="Y1130" s="10"/>
    </row>
    <row r="1131">
      <c r="A1131" s="10"/>
      <c r="B1131" s="11"/>
      <c r="C1131" s="10"/>
      <c r="D1131" s="9"/>
      <c r="E1131" s="10"/>
      <c r="F1131" s="10"/>
      <c r="G1131" s="10"/>
      <c r="H1131" s="10"/>
      <c r="I1131" s="10"/>
      <c r="J1131" s="10"/>
      <c r="K1131" s="10"/>
      <c r="L1131" s="10"/>
      <c r="M1131" s="11"/>
      <c r="N1131" s="10"/>
      <c r="O1131" s="10"/>
      <c r="P1131" s="11"/>
      <c r="Q1131" s="10"/>
      <c r="R1131" s="11"/>
      <c r="S1131" s="10"/>
      <c r="T1131" s="10"/>
      <c r="U1131" s="10"/>
      <c r="V1131" s="10"/>
      <c r="W1131" s="10"/>
      <c r="X1131" s="10"/>
      <c r="Y1131" s="10"/>
    </row>
    <row r="1132">
      <c r="A1132" s="10"/>
      <c r="B1132" s="11"/>
      <c r="C1132" s="10"/>
      <c r="D1132" s="9"/>
      <c r="E1132" s="10"/>
      <c r="F1132" s="10"/>
      <c r="G1132" s="10"/>
      <c r="H1132" s="10"/>
      <c r="I1132" s="10"/>
      <c r="J1132" s="10"/>
      <c r="K1132" s="10"/>
      <c r="L1132" s="10"/>
      <c r="M1132" s="11"/>
      <c r="N1132" s="10"/>
      <c r="O1132" s="10"/>
      <c r="P1132" s="11"/>
      <c r="Q1132" s="10"/>
      <c r="R1132" s="11"/>
      <c r="S1132" s="10"/>
      <c r="T1132" s="10"/>
      <c r="U1132" s="10"/>
      <c r="V1132" s="10"/>
      <c r="W1132" s="10"/>
      <c r="X1132" s="10"/>
      <c r="Y1132" s="10"/>
    </row>
    <row r="1133">
      <c r="A1133" s="10"/>
      <c r="B1133" s="11"/>
      <c r="C1133" s="10"/>
      <c r="D1133" s="9"/>
      <c r="E1133" s="10"/>
      <c r="F1133" s="10"/>
      <c r="G1133" s="10"/>
      <c r="H1133" s="10"/>
      <c r="I1133" s="10"/>
      <c r="J1133" s="10"/>
      <c r="K1133" s="10"/>
      <c r="L1133" s="10"/>
      <c r="M1133" s="11"/>
      <c r="N1133" s="10"/>
      <c r="O1133" s="10"/>
      <c r="P1133" s="11"/>
      <c r="Q1133" s="10"/>
      <c r="R1133" s="11"/>
      <c r="S1133" s="10"/>
      <c r="T1133" s="10"/>
      <c r="U1133" s="10"/>
      <c r="V1133" s="10"/>
      <c r="W1133" s="10"/>
      <c r="X1133" s="10"/>
      <c r="Y1133" s="10"/>
    </row>
    <row r="1134">
      <c r="A1134" s="10"/>
      <c r="B1134" s="11"/>
      <c r="C1134" s="10"/>
      <c r="D1134" s="9"/>
      <c r="E1134" s="10"/>
      <c r="F1134" s="10"/>
      <c r="G1134" s="10"/>
      <c r="H1134" s="10"/>
      <c r="I1134" s="10"/>
      <c r="J1134" s="10"/>
      <c r="K1134" s="10"/>
      <c r="L1134" s="10"/>
      <c r="M1134" s="11"/>
      <c r="N1134" s="10"/>
      <c r="O1134" s="10"/>
      <c r="P1134" s="11"/>
      <c r="Q1134" s="10"/>
      <c r="R1134" s="11"/>
      <c r="S1134" s="10"/>
      <c r="T1134" s="10"/>
      <c r="U1134" s="10"/>
      <c r="V1134" s="10"/>
      <c r="W1134" s="10"/>
      <c r="X1134" s="10"/>
      <c r="Y1134" s="10"/>
    </row>
    <row r="1135">
      <c r="A1135" s="10"/>
      <c r="B1135" s="11"/>
      <c r="C1135" s="10"/>
      <c r="D1135" s="9"/>
      <c r="E1135" s="10"/>
      <c r="F1135" s="10"/>
      <c r="G1135" s="10"/>
      <c r="H1135" s="10"/>
      <c r="I1135" s="10"/>
      <c r="J1135" s="10"/>
      <c r="K1135" s="10"/>
      <c r="L1135" s="10"/>
      <c r="M1135" s="11"/>
      <c r="N1135" s="10"/>
      <c r="O1135" s="10"/>
      <c r="P1135" s="11"/>
      <c r="Q1135" s="10"/>
      <c r="R1135" s="11"/>
      <c r="S1135" s="10"/>
      <c r="T1135" s="10"/>
      <c r="U1135" s="10"/>
      <c r="V1135" s="10"/>
      <c r="W1135" s="10"/>
      <c r="X1135" s="10"/>
      <c r="Y1135" s="10"/>
    </row>
    <row r="1136">
      <c r="A1136" s="10"/>
      <c r="B1136" s="11"/>
      <c r="C1136" s="10"/>
      <c r="D1136" s="9"/>
      <c r="E1136" s="10"/>
      <c r="F1136" s="10"/>
      <c r="G1136" s="10"/>
      <c r="H1136" s="10"/>
      <c r="I1136" s="10"/>
      <c r="J1136" s="10"/>
      <c r="K1136" s="10"/>
      <c r="L1136" s="10"/>
      <c r="M1136" s="11"/>
      <c r="N1136" s="10"/>
      <c r="O1136" s="10"/>
      <c r="P1136" s="11"/>
      <c r="Q1136" s="10"/>
      <c r="R1136" s="11"/>
      <c r="S1136" s="10"/>
      <c r="T1136" s="10"/>
      <c r="U1136" s="10"/>
      <c r="V1136" s="10"/>
      <c r="W1136" s="10"/>
      <c r="X1136" s="10"/>
      <c r="Y1136" s="10"/>
    </row>
    <row r="1137">
      <c r="A1137" s="10"/>
      <c r="B1137" s="11"/>
      <c r="C1137" s="10"/>
      <c r="D1137" s="9"/>
      <c r="E1137" s="10"/>
      <c r="F1137" s="10"/>
      <c r="G1137" s="10"/>
      <c r="H1137" s="10"/>
      <c r="I1137" s="10"/>
      <c r="J1137" s="10"/>
      <c r="K1137" s="10"/>
      <c r="L1137" s="10"/>
      <c r="M1137" s="11"/>
      <c r="N1137" s="10"/>
      <c r="O1137" s="10"/>
      <c r="P1137" s="11"/>
      <c r="Q1137" s="10"/>
      <c r="R1137" s="11"/>
      <c r="S1137" s="10"/>
      <c r="T1137" s="10"/>
      <c r="U1137" s="10"/>
      <c r="V1137" s="10"/>
      <c r="W1137" s="10"/>
      <c r="X1137" s="10"/>
      <c r="Y1137" s="10"/>
    </row>
    <row r="1138">
      <c r="A1138" s="10"/>
      <c r="B1138" s="11"/>
      <c r="C1138" s="10"/>
      <c r="D1138" s="9"/>
      <c r="E1138" s="10"/>
      <c r="F1138" s="10"/>
      <c r="G1138" s="10"/>
      <c r="H1138" s="10"/>
      <c r="I1138" s="10"/>
      <c r="J1138" s="10"/>
      <c r="K1138" s="10"/>
      <c r="L1138" s="10"/>
      <c r="M1138" s="11"/>
      <c r="N1138" s="10"/>
      <c r="O1138" s="10"/>
      <c r="P1138" s="11"/>
      <c r="Q1138" s="10"/>
      <c r="R1138" s="11"/>
      <c r="S1138" s="10"/>
      <c r="T1138" s="10"/>
      <c r="U1138" s="10"/>
      <c r="V1138" s="10"/>
      <c r="W1138" s="10"/>
      <c r="X1138" s="10"/>
      <c r="Y1138" s="10"/>
    </row>
    <row r="1139">
      <c r="A1139" s="10"/>
      <c r="B1139" s="11"/>
      <c r="C1139" s="10"/>
      <c r="D1139" s="9"/>
      <c r="E1139" s="10"/>
      <c r="F1139" s="10"/>
      <c r="G1139" s="10"/>
      <c r="H1139" s="10"/>
      <c r="I1139" s="10"/>
      <c r="J1139" s="10"/>
      <c r="K1139" s="10"/>
      <c r="L1139" s="10"/>
      <c r="M1139" s="11"/>
      <c r="N1139" s="10"/>
      <c r="O1139" s="10"/>
      <c r="P1139" s="11"/>
      <c r="Q1139" s="10"/>
      <c r="R1139" s="11"/>
      <c r="S1139" s="10"/>
      <c r="T1139" s="10"/>
      <c r="U1139" s="10"/>
      <c r="V1139" s="10"/>
      <c r="W1139" s="10"/>
      <c r="X1139" s="10"/>
      <c r="Y1139" s="10"/>
    </row>
    <row r="1140">
      <c r="A1140" s="10"/>
      <c r="B1140" s="11"/>
      <c r="C1140" s="10"/>
      <c r="D1140" s="9"/>
      <c r="E1140" s="10"/>
      <c r="F1140" s="10"/>
      <c r="G1140" s="10"/>
      <c r="H1140" s="10"/>
      <c r="I1140" s="10"/>
      <c r="J1140" s="10"/>
      <c r="K1140" s="10"/>
      <c r="L1140" s="10"/>
      <c r="M1140" s="11"/>
      <c r="N1140" s="10"/>
      <c r="O1140" s="10"/>
      <c r="P1140" s="11"/>
      <c r="Q1140" s="10"/>
      <c r="R1140" s="11"/>
      <c r="S1140" s="10"/>
      <c r="T1140" s="10"/>
      <c r="U1140" s="10"/>
      <c r="V1140" s="10"/>
      <c r="W1140" s="10"/>
      <c r="X1140" s="10"/>
      <c r="Y1140" s="10"/>
    </row>
    <row r="1141">
      <c r="A1141" s="10"/>
      <c r="B1141" s="11"/>
      <c r="C1141" s="10"/>
      <c r="D1141" s="9"/>
      <c r="E1141" s="10"/>
      <c r="F1141" s="10"/>
      <c r="G1141" s="10"/>
      <c r="H1141" s="10"/>
      <c r="I1141" s="10"/>
      <c r="J1141" s="10"/>
      <c r="K1141" s="10"/>
      <c r="L1141" s="10"/>
      <c r="M1141" s="11"/>
      <c r="N1141" s="10"/>
      <c r="O1141" s="10"/>
      <c r="P1141" s="11"/>
      <c r="Q1141" s="10"/>
      <c r="R1141" s="11"/>
      <c r="S1141" s="10"/>
      <c r="T1141" s="10"/>
      <c r="U1141" s="10"/>
      <c r="V1141" s="10"/>
      <c r="W1141" s="10"/>
      <c r="X1141" s="10"/>
      <c r="Y1141" s="10"/>
    </row>
    <row r="1142">
      <c r="A1142" s="10"/>
      <c r="B1142" s="11"/>
      <c r="C1142" s="10"/>
      <c r="D1142" s="9"/>
      <c r="E1142" s="10"/>
      <c r="F1142" s="10"/>
      <c r="G1142" s="10"/>
      <c r="H1142" s="10"/>
      <c r="I1142" s="10"/>
      <c r="J1142" s="10"/>
      <c r="K1142" s="10"/>
      <c r="L1142" s="10"/>
      <c r="M1142" s="11"/>
      <c r="N1142" s="10"/>
      <c r="O1142" s="10"/>
      <c r="P1142" s="11"/>
      <c r="Q1142" s="10"/>
      <c r="R1142" s="11"/>
      <c r="S1142" s="10"/>
      <c r="T1142" s="10"/>
      <c r="U1142" s="10"/>
      <c r="V1142" s="10"/>
      <c r="W1142" s="10"/>
      <c r="X1142" s="10"/>
      <c r="Y1142" s="10"/>
    </row>
    <row r="1143">
      <c r="A1143" s="10"/>
      <c r="B1143" s="11"/>
      <c r="C1143" s="10"/>
      <c r="D1143" s="9"/>
      <c r="E1143" s="10"/>
      <c r="F1143" s="10"/>
      <c r="G1143" s="10"/>
      <c r="H1143" s="10"/>
      <c r="I1143" s="10"/>
      <c r="J1143" s="10"/>
      <c r="K1143" s="10"/>
      <c r="L1143" s="10"/>
      <c r="M1143" s="11"/>
      <c r="N1143" s="10"/>
      <c r="O1143" s="10"/>
      <c r="P1143" s="11"/>
      <c r="Q1143" s="10"/>
      <c r="R1143" s="11"/>
      <c r="S1143" s="10"/>
      <c r="T1143" s="10"/>
      <c r="U1143" s="10"/>
      <c r="V1143" s="10"/>
      <c r="W1143" s="10"/>
      <c r="X1143" s="10"/>
      <c r="Y1143" s="10"/>
    </row>
    <row r="1144">
      <c r="A1144" s="10"/>
      <c r="B1144" s="11"/>
      <c r="C1144" s="10"/>
      <c r="D1144" s="9"/>
      <c r="E1144" s="10"/>
      <c r="F1144" s="10"/>
      <c r="G1144" s="10"/>
      <c r="H1144" s="10"/>
      <c r="I1144" s="10"/>
      <c r="J1144" s="10"/>
      <c r="K1144" s="10"/>
      <c r="L1144" s="10"/>
      <c r="M1144" s="11"/>
      <c r="N1144" s="10"/>
      <c r="O1144" s="10"/>
      <c r="P1144" s="11"/>
      <c r="Q1144" s="10"/>
      <c r="R1144" s="11"/>
      <c r="S1144" s="10"/>
      <c r="T1144" s="10"/>
      <c r="U1144" s="10"/>
      <c r="V1144" s="10"/>
      <c r="W1144" s="10"/>
      <c r="X1144" s="10"/>
      <c r="Y1144" s="10"/>
    </row>
    <row r="1145">
      <c r="A1145" s="10"/>
      <c r="B1145" s="11"/>
      <c r="C1145" s="10"/>
      <c r="D1145" s="9"/>
      <c r="E1145" s="10"/>
      <c r="F1145" s="10"/>
      <c r="G1145" s="10"/>
      <c r="H1145" s="10"/>
      <c r="I1145" s="10"/>
      <c r="J1145" s="10"/>
      <c r="K1145" s="10"/>
      <c r="L1145" s="10"/>
      <c r="M1145" s="11"/>
      <c r="N1145" s="10"/>
      <c r="O1145" s="10"/>
      <c r="P1145" s="11"/>
      <c r="Q1145" s="10"/>
      <c r="R1145" s="11"/>
      <c r="S1145" s="10"/>
      <c r="T1145" s="10"/>
      <c r="U1145" s="10"/>
      <c r="V1145" s="10"/>
      <c r="W1145" s="10"/>
      <c r="X1145" s="10"/>
      <c r="Y1145" s="10"/>
    </row>
    <row r="1146">
      <c r="A1146" s="10"/>
      <c r="B1146" s="11"/>
      <c r="C1146" s="10"/>
      <c r="D1146" s="9"/>
      <c r="E1146" s="10"/>
      <c r="F1146" s="10"/>
      <c r="G1146" s="10"/>
      <c r="H1146" s="10"/>
      <c r="I1146" s="10"/>
      <c r="J1146" s="10"/>
      <c r="K1146" s="10"/>
      <c r="L1146" s="10"/>
      <c r="M1146" s="11"/>
      <c r="N1146" s="10"/>
      <c r="O1146" s="10"/>
      <c r="P1146" s="11"/>
      <c r="Q1146" s="10"/>
      <c r="R1146" s="11"/>
      <c r="S1146" s="10"/>
      <c r="T1146" s="10"/>
      <c r="U1146" s="10"/>
      <c r="V1146" s="10"/>
      <c r="W1146" s="10"/>
      <c r="X1146" s="10"/>
      <c r="Y1146" s="10"/>
    </row>
    <row r="1147">
      <c r="A1147" s="10"/>
      <c r="B1147" s="11"/>
      <c r="C1147" s="10"/>
      <c r="D1147" s="9"/>
      <c r="E1147" s="10"/>
      <c r="F1147" s="10"/>
      <c r="G1147" s="10"/>
      <c r="H1147" s="10"/>
      <c r="I1147" s="10"/>
      <c r="J1147" s="10"/>
      <c r="K1147" s="10"/>
      <c r="L1147" s="10"/>
      <c r="M1147" s="11"/>
      <c r="N1147" s="10"/>
      <c r="O1147" s="10"/>
      <c r="P1147" s="11"/>
      <c r="Q1147" s="10"/>
      <c r="R1147" s="11"/>
      <c r="S1147" s="10"/>
      <c r="T1147" s="10"/>
      <c r="U1147" s="10"/>
      <c r="V1147" s="10"/>
      <c r="W1147" s="10"/>
      <c r="X1147" s="10"/>
      <c r="Y1147" s="10"/>
    </row>
    <row r="1148">
      <c r="A1148" s="10"/>
      <c r="B1148" s="11"/>
      <c r="C1148" s="10"/>
      <c r="D1148" s="9"/>
      <c r="E1148" s="10"/>
      <c r="F1148" s="10"/>
      <c r="G1148" s="10"/>
      <c r="H1148" s="10"/>
      <c r="I1148" s="10"/>
      <c r="J1148" s="10"/>
      <c r="K1148" s="10"/>
      <c r="L1148" s="10"/>
      <c r="M1148" s="11"/>
      <c r="N1148" s="10"/>
      <c r="O1148" s="10"/>
      <c r="P1148" s="11"/>
      <c r="Q1148" s="10"/>
      <c r="R1148" s="11"/>
      <c r="S1148" s="10"/>
      <c r="T1148" s="10"/>
      <c r="U1148" s="10"/>
      <c r="V1148" s="10"/>
      <c r="W1148" s="10"/>
      <c r="X1148" s="10"/>
      <c r="Y1148" s="10"/>
    </row>
    <row r="1149">
      <c r="A1149" s="10"/>
      <c r="B1149" s="11"/>
      <c r="C1149" s="10"/>
      <c r="D1149" s="9"/>
      <c r="E1149" s="10"/>
      <c r="F1149" s="10"/>
      <c r="G1149" s="10"/>
      <c r="H1149" s="10"/>
      <c r="I1149" s="10"/>
      <c r="J1149" s="10"/>
      <c r="K1149" s="10"/>
      <c r="L1149" s="10"/>
      <c r="M1149" s="11"/>
      <c r="N1149" s="10"/>
      <c r="O1149" s="10"/>
      <c r="P1149" s="11"/>
      <c r="Q1149" s="10"/>
      <c r="R1149" s="11"/>
      <c r="S1149" s="10"/>
      <c r="T1149" s="10"/>
      <c r="U1149" s="10"/>
      <c r="V1149" s="10"/>
      <c r="W1149" s="10"/>
      <c r="X1149" s="10"/>
      <c r="Y1149" s="10"/>
    </row>
    <row r="1150">
      <c r="A1150" s="10"/>
      <c r="B1150" s="11"/>
      <c r="C1150" s="10"/>
      <c r="D1150" s="9"/>
      <c r="E1150" s="10"/>
      <c r="F1150" s="10"/>
      <c r="G1150" s="10"/>
      <c r="H1150" s="10"/>
      <c r="I1150" s="10"/>
      <c r="J1150" s="10"/>
      <c r="K1150" s="10"/>
      <c r="L1150" s="10"/>
      <c r="M1150" s="11"/>
      <c r="N1150" s="10"/>
      <c r="O1150" s="10"/>
      <c r="P1150" s="11"/>
      <c r="Q1150" s="10"/>
      <c r="R1150" s="11"/>
      <c r="S1150" s="10"/>
      <c r="T1150" s="10"/>
      <c r="U1150" s="10"/>
      <c r="V1150" s="10"/>
      <c r="W1150" s="10"/>
      <c r="X1150" s="10"/>
      <c r="Y1150" s="10"/>
    </row>
    <row r="1151">
      <c r="A1151" s="10"/>
      <c r="B1151" s="11"/>
      <c r="C1151" s="10"/>
      <c r="D1151" s="9"/>
      <c r="E1151" s="10"/>
      <c r="F1151" s="10"/>
      <c r="G1151" s="10"/>
      <c r="H1151" s="10"/>
      <c r="I1151" s="10"/>
      <c r="J1151" s="10"/>
      <c r="K1151" s="10"/>
      <c r="L1151" s="10"/>
      <c r="M1151" s="11"/>
      <c r="N1151" s="10"/>
      <c r="O1151" s="10"/>
      <c r="P1151" s="11"/>
      <c r="Q1151" s="10"/>
      <c r="R1151" s="11"/>
      <c r="S1151" s="10"/>
      <c r="T1151" s="10"/>
      <c r="U1151" s="10"/>
      <c r="V1151" s="10"/>
      <c r="W1151" s="10"/>
      <c r="X1151" s="10"/>
      <c r="Y1151" s="10"/>
    </row>
    <row r="1152">
      <c r="A1152" s="10"/>
      <c r="B1152" s="11"/>
      <c r="C1152" s="10"/>
      <c r="D1152" s="9"/>
      <c r="E1152" s="10"/>
      <c r="F1152" s="10"/>
      <c r="G1152" s="10"/>
      <c r="H1152" s="10"/>
      <c r="I1152" s="10"/>
      <c r="J1152" s="10"/>
      <c r="K1152" s="10"/>
      <c r="L1152" s="10"/>
      <c r="M1152" s="11"/>
      <c r="N1152" s="10"/>
      <c r="O1152" s="10"/>
      <c r="P1152" s="11"/>
      <c r="Q1152" s="10"/>
      <c r="R1152" s="11"/>
      <c r="S1152" s="10"/>
      <c r="T1152" s="10"/>
      <c r="U1152" s="10"/>
      <c r="V1152" s="10"/>
      <c r="W1152" s="10"/>
      <c r="X1152" s="10"/>
      <c r="Y1152" s="10"/>
    </row>
    <row r="1153">
      <c r="A1153" s="10"/>
      <c r="B1153" s="11"/>
      <c r="C1153" s="10"/>
      <c r="D1153" s="9"/>
      <c r="E1153" s="10"/>
      <c r="F1153" s="10"/>
      <c r="G1153" s="10"/>
      <c r="H1153" s="10"/>
      <c r="I1153" s="10"/>
      <c r="J1153" s="10"/>
      <c r="K1153" s="10"/>
      <c r="L1153" s="10"/>
      <c r="M1153" s="11"/>
      <c r="N1153" s="10"/>
      <c r="O1153" s="10"/>
      <c r="P1153" s="11"/>
      <c r="Q1153" s="10"/>
      <c r="R1153" s="11"/>
      <c r="S1153" s="10"/>
      <c r="T1153" s="10"/>
      <c r="U1153" s="10"/>
      <c r="V1153" s="10"/>
      <c r="W1153" s="10"/>
      <c r="X1153" s="10"/>
      <c r="Y1153" s="10"/>
    </row>
    <row r="1154">
      <c r="A1154" s="10"/>
      <c r="B1154" s="11"/>
      <c r="C1154" s="10"/>
      <c r="D1154" s="9"/>
      <c r="E1154" s="10"/>
      <c r="F1154" s="10"/>
      <c r="G1154" s="10"/>
      <c r="H1154" s="10"/>
      <c r="I1154" s="10"/>
      <c r="J1154" s="10"/>
      <c r="K1154" s="10"/>
      <c r="L1154" s="10"/>
      <c r="M1154" s="11"/>
      <c r="N1154" s="10"/>
      <c r="O1154" s="10"/>
      <c r="P1154" s="11"/>
      <c r="Q1154" s="10"/>
      <c r="R1154" s="11"/>
      <c r="S1154" s="10"/>
      <c r="T1154" s="10"/>
      <c r="U1154" s="10"/>
      <c r="V1154" s="10"/>
      <c r="W1154" s="10"/>
      <c r="X1154" s="10"/>
      <c r="Y1154" s="10"/>
    </row>
    <row r="1155">
      <c r="A1155" s="10"/>
      <c r="B1155" s="11"/>
      <c r="C1155" s="10"/>
      <c r="D1155" s="9"/>
      <c r="E1155" s="10"/>
      <c r="F1155" s="10"/>
      <c r="G1155" s="10"/>
      <c r="H1155" s="10"/>
      <c r="I1155" s="10"/>
      <c r="J1155" s="10"/>
      <c r="K1155" s="10"/>
      <c r="L1155" s="10"/>
      <c r="M1155" s="11"/>
      <c r="N1155" s="10"/>
      <c r="O1155" s="10"/>
      <c r="P1155" s="11"/>
      <c r="Q1155" s="10"/>
      <c r="R1155" s="11"/>
      <c r="S1155" s="10"/>
      <c r="T1155" s="10"/>
      <c r="U1155" s="10"/>
      <c r="V1155" s="10"/>
      <c r="W1155" s="10"/>
      <c r="X1155" s="10"/>
      <c r="Y1155" s="10"/>
    </row>
    <row r="1156">
      <c r="A1156" s="10"/>
      <c r="B1156" s="11"/>
      <c r="C1156" s="10"/>
      <c r="D1156" s="9"/>
      <c r="E1156" s="10"/>
      <c r="F1156" s="10"/>
      <c r="G1156" s="10"/>
      <c r="H1156" s="10"/>
      <c r="I1156" s="10"/>
      <c r="J1156" s="10"/>
      <c r="K1156" s="10"/>
      <c r="L1156" s="10"/>
      <c r="M1156" s="11"/>
      <c r="N1156" s="10"/>
      <c r="O1156" s="10"/>
      <c r="P1156" s="11"/>
      <c r="Q1156" s="10"/>
      <c r="R1156" s="11"/>
      <c r="S1156" s="10"/>
      <c r="T1156" s="10"/>
      <c r="U1156" s="10"/>
      <c r="V1156" s="10"/>
      <c r="W1156" s="10"/>
      <c r="X1156" s="10"/>
      <c r="Y1156" s="10"/>
    </row>
    <row r="1157">
      <c r="A1157" s="10"/>
      <c r="B1157" s="11"/>
      <c r="C1157" s="10"/>
      <c r="D1157" s="9"/>
      <c r="E1157" s="10"/>
      <c r="F1157" s="10"/>
      <c r="G1157" s="10"/>
      <c r="H1157" s="10"/>
      <c r="I1157" s="10"/>
      <c r="J1157" s="10"/>
      <c r="K1157" s="10"/>
      <c r="L1157" s="10"/>
      <c r="M1157" s="11"/>
      <c r="N1157" s="10"/>
      <c r="O1157" s="10"/>
      <c r="P1157" s="11"/>
      <c r="Q1157" s="10"/>
      <c r="R1157" s="11"/>
      <c r="S1157" s="10"/>
      <c r="T1157" s="10"/>
      <c r="U1157" s="10"/>
      <c r="V1157" s="10"/>
      <c r="W1157" s="10"/>
      <c r="X1157" s="10"/>
      <c r="Y1157" s="10"/>
    </row>
    <row r="1158">
      <c r="A1158" s="10"/>
      <c r="B1158" s="11"/>
      <c r="C1158" s="10"/>
      <c r="D1158" s="9"/>
      <c r="E1158" s="10"/>
      <c r="F1158" s="10"/>
      <c r="G1158" s="10"/>
      <c r="H1158" s="10"/>
      <c r="I1158" s="10"/>
      <c r="J1158" s="10"/>
      <c r="K1158" s="10"/>
      <c r="L1158" s="10"/>
      <c r="M1158" s="11"/>
      <c r="N1158" s="10"/>
      <c r="O1158" s="10"/>
      <c r="P1158" s="11"/>
      <c r="Q1158" s="10"/>
      <c r="R1158" s="11"/>
      <c r="S1158" s="10"/>
      <c r="T1158" s="10"/>
      <c r="U1158" s="10"/>
      <c r="V1158" s="10"/>
      <c r="W1158" s="10"/>
      <c r="X1158" s="10"/>
      <c r="Y1158" s="10"/>
    </row>
    <row r="1159">
      <c r="A1159" s="10"/>
      <c r="B1159" s="11"/>
      <c r="C1159" s="10"/>
      <c r="D1159" s="9"/>
      <c r="E1159" s="10"/>
      <c r="F1159" s="10"/>
      <c r="G1159" s="10"/>
      <c r="H1159" s="10"/>
      <c r="I1159" s="10"/>
      <c r="J1159" s="10"/>
      <c r="K1159" s="10"/>
      <c r="L1159" s="10"/>
      <c r="M1159" s="11"/>
      <c r="N1159" s="10"/>
      <c r="O1159" s="10"/>
      <c r="P1159" s="11"/>
      <c r="Q1159" s="10"/>
      <c r="R1159" s="11"/>
      <c r="S1159" s="10"/>
      <c r="T1159" s="10"/>
      <c r="U1159" s="10"/>
      <c r="V1159" s="10"/>
      <c r="W1159" s="10"/>
      <c r="X1159" s="10"/>
      <c r="Y1159" s="10"/>
    </row>
    <row r="1160">
      <c r="A1160" s="10"/>
      <c r="B1160" s="11"/>
      <c r="C1160" s="10"/>
      <c r="D1160" s="9"/>
      <c r="E1160" s="10"/>
      <c r="F1160" s="10"/>
      <c r="G1160" s="10"/>
      <c r="H1160" s="10"/>
      <c r="I1160" s="10"/>
      <c r="J1160" s="10"/>
      <c r="K1160" s="10"/>
      <c r="L1160" s="10"/>
      <c r="M1160" s="11"/>
      <c r="N1160" s="10"/>
      <c r="O1160" s="10"/>
      <c r="P1160" s="11"/>
      <c r="Q1160" s="10"/>
      <c r="R1160" s="11"/>
      <c r="S1160" s="10"/>
      <c r="T1160" s="10"/>
      <c r="U1160" s="10"/>
      <c r="V1160" s="10"/>
      <c r="W1160" s="10"/>
      <c r="X1160" s="10"/>
      <c r="Y1160" s="10"/>
    </row>
    <row r="1161">
      <c r="A1161" s="10"/>
      <c r="B1161" s="11"/>
      <c r="C1161" s="10"/>
      <c r="D1161" s="9"/>
      <c r="E1161" s="10"/>
      <c r="F1161" s="10"/>
      <c r="G1161" s="10"/>
      <c r="H1161" s="10"/>
      <c r="I1161" s="10"/>
      <c r="J1161" s="10"/>
      <c r="K1161" s="10"/>
      <c r="L1161" s="10"/>
      <c r="M1161" s="11"/>
      <c r="N1161" s="10"/>
      <c r="O1161" s="10"/>
      <c r="P1161" s="11"/>
      <c r="Q1161" s="10"/>
      <c r="R1161" s="11"/>
      <c r="S1161" s="10"/>
      <c r="T1161" s="10"/>
      <c r="U1161" s="10"/>
      <c r="V1161" s="10"/>
      <c r="W1161" s="10"/>
      <c r="X1161" s="10"/>
      <c r="Y1161" s="10"/>
    </row>
    <row r="1162">
      <c r="A1162" s="10"/>
      <c r="B1162" s="11"/>
      <c r="C1162" s="10"/>
      <c r="D1162" s="9"/>
      <c r="E1162" s="10"/>
      <c r="F1162" s="10"/>
      <c r="G1162" s="10"/>
      <c r="H1162" s="10"/>
      <c r="I1162" s="10"/>
      <c r="J1162" s="10"/>
      <c r="K1162" s="10"/>
      <c r="L1162" s="10"/>
      <c r="M1162" s="11"/>
      <c r="N1162" s="10"/>
      <c r="O1162" s="10"/>
      <c r="P1162" s="11"/>
      <c r="Q1162" s="10"/>
      <c r="R1162" s="11"/>
      <c r="S1162" s="10"/>
      <c r="T1162" s="10"/>
      <c r="U1162" s="10"/>
      <c r="V1162" s="10"/>
      <c r="W1162" s="10"/>
      <c r="X1162" s="10"/>
      <c r="Y1162" s="10"/>
    </row>
    <row r="1163">
      <c r="A1163" s="10"/>
      <c r="B1163" s="11"/>
      <c r="C1163" s="10"/>
      <c r="D1163" s="9"/>
      <c r="E1163" s="10"/>
      <c r="F1163" s="10"/>
      <c r="G1163" s="10"/>
      <c r="H1163" s="10"/>
      <c r="I1163" s="10"/>
      <c r="J1163" s="10"/>
      <c r="K1163" s="10"/>
      <c r="L1163" s="10"/>
      <c r="M1163" s="11"/>
      <c r="N1163" s="10"/>
      <c r="O1163" s="10"/>
      <c r="P1163" s="11"/>
      <c r="Q1163" s="10"/>
      <c r="R1163" s="11"/>
      <c r="S1163" s="10"/>
      <c r="T1163" s="10"/>
      <c r="U1163" s="10"/>
      <c r="V1163" s="10"/>
      <c r="W1163" s="10"/>
      <c r="X1163" s="10"/>
      <c r="Y1163" s="10"/>
    </row>
    <row r="1164">
      <c r="A1164" s="10"/>
      <c r="B1164" s="11"/>
      <c r="C1164" s="10"/>
      <c r="D1164" s="9"/>
      <c r="E1164" s="10"/>
      <c r="F1164" s="10"/>
      <c r="G1164" s="10"/>
      <c r="H1164" s="10"/>
      <c r="I1164" s="10"/>
      <c r="J1164" s="10"/>
      <c r="K1164" s="10"/>
      <c r="L1164" s="10"/>
      <c r="M1164" s="11"/>
      <c r="N1164" s="10"/>
      <c r="O1164" s="10"/>
      <c r="P1164" s="11"/>
      <c r="Q1164" s="10"/>
      <c r="R1164" s="11"/>
      <c r="S1164" s="10"/>
      <c r="T1164" s="10"/>
      <c r="U1164" s="10"/>
      <c r="V1164" s="10"/>
      <c r="W1164" s="10"/>
      <c r="X1164" s="10"/>
      <c r="Y1164" s="10"/>
    </row>
    <row r="1165">
      <c r="A1165" s="10"/>
      <c r="B1165" s="11"/>
      <c r="C1165" s="10"/>
      <c r="D1165" s="9"/>
      <c r="E1165" s="10"/>
      <c r="F1165" s="10"/>
      <c r="G1165" s="10"/>
      <c r="H1165" s="10"/>
      <c r="I1165" s="10"/>
      <c r="J1165" s="10"/>
      <c r="K1165" s="10"/>
      <c r="L1165" s="10"/>
      <c r="M1165" s="11"/>
      <c r="N1165" s="10"/>
      <c r="O1165" s="10"/>
      <c r="P1165" s="11"/>
      <c r="Q1165" s="10"/>
      <c r="R1165" s="11"/>
      <c r="S1165" s="10"/>
      <c r="T1165" s="10"/>
      <c r="U1165" s="10"/>
      <c r="V1165" s="10"/>
      <c r="W1165" s="10"/>
      <c r="X1165" s="10"/>
      <c r="Y1165" s="10"/>
    </row>
    <row r="1166">
      <c r="A1166" s="10"/>
      <c r="B1166" s="11"/>
      <c r="C1166" s="10"/>
      <c r="D1166" s="9"/>
      <c r="E1166" s="10"/>
      <c r="F1166" s="10"/>
      <c r="G1166" s="10"/>
      <c r="H1166" s="10"/>
      <c r="I1166" s="10"/>
      <c r="J1166" s="10"/>
      <c r="K1166" s="10"/>
      <c r="L1166" s="10"/>
      <c r="M1166" s="11"/>
      <c r="N1166" s="10"/>
      <c r="O1166" s="10"/>
      <c r="P1166" s="11"/>
      <c r="Q1166" s="10"/>
      <c r="R1166" s="11"/>
      <c r="S1166" s="10"/>
      <c r="T1166" s="10"/>
      <c r="U1166" s="10"/>
      <c r="V1166" s="10"/>
      <c r="W1166" s="10"/>
      <c r="X1166" s="10"/>
      <c r="Y1166" s="10"/>
    </row>
    <row r="1167">
      <c r="A1167" s="10"/>
      <c r="B1167" s="11"/>
      <c r="C1167" s="10"/>
      <c r="D1167" s="9"/>
      <c r="E1167" s="10"/>
      <c r="F1167" s="10"/>
      <c r="G1167" s="10"/>
      <c r="H1167" s="10"/>
      <c r="I1167" s="10"/>
      <c r="J1167" s="10"/>
      <c r="K1167" s="10"/>
      <c r="L1167" s="10"/>
      <c r="M1167" s="11"/>
      <c r="N1167" s="10"/>
      <c r="O1167" s="10"/>
      <c r="P1167" s="11"/>
      <c r="Q1167" s="10"/>
      <c r="R1167" s="11"/>
      <c r="S1167" s="10"/>
      <c r="T1167" s="10"/>
      <c r="U1167" s="10"/>
      <c r="V1167" s="10"/>
      <c r="W1167" s="10"/>
      <c r="X1167" s="10"/>
      <c r="Y1167" s="10"/>
    </row>
    <row r="1168">
      <c r="A1168" s="10"/>
      <c r="B1168" s="11"/>
      <c r="C1168" s="10"/>
      <c r="D1168" s="9"/>
      <c r="E1168" s="10"/>
      <c r="F1168" s="10"/>
      <c r="G1168" s="10"/>
      <c r="H1168" s="10"/>
      <c r="I1168" s="10"/>
      <c r="J1168" s="10"/>
      <c r="K1168" s="10"/>
      <c r="L1168" s="10"/>
      <c r="M1168" s="11"/>
      <c r="N1168" s="10"/>
      <c r="O1168" s="10"/>
      <c r="P1168" s="11"/>
      <c r="Q1168" s="10"/>
      <c r="R1168" s="11"/>
      <c r="S1168" s="10"/>
      <c r="T1168" s="10"/>
      <c r="U1168" s="10"/>
      <c r="V1168" s="10"/>
      <c r="W1168" s="10"/>
      <c r="X1168" s="10"/>
      <c r="Y1168" s="10"/>
    </row>
    <row r="1169">
      <c r="A1169" s="10"/>
      <c r="B1169" s="11"/>
      <c r="C1169" s="10"/>
      <c r="D1169" s="9"/>
      <c r="E1169" s="10"/>
      <c r="F1169" s="10"/>
      <c r="G1169" s="10"/>
      <c r="H1169" s="10"/>
      <c r="I1169" s="10"/>
      <c r="J1169" s="10"/>
      <c r="K1169" s="10"/>
      <c r="L1169" s="10"/>
      <c r="M1169" s="11"/>
      <c r="N1169" s="10"/>
      <c r="O1169" s="10"/>
      <c r="P1169" s="11"/>
      <c r="Q1169" s="10"/>
      <c r="R1169" s="11"/>
      <c r="S1169" s="10"/>
      <c r="T1169" s="10"/>
      <c r="U1169" s="10"/>
      <c r="V1169" s="10"/>
      <c r="W1169" s="10"/>
      <c r="X1169" s="10"/>
      <c r="Y1169" s="10"/>
    </row>
    <row r="1170">
      <c r="A1170" s="10"/>
      <c r="B1170" s="11"/>
      <c r="C1170" s="10"/>
      <c r="D1170" s="9"/>
      <c r="E1170" s="10"/>
      <c r="F1170" s="10"/>
      <c r="G1170" s="10"/>
      <c r="H1170" s="10"/>
      <c r="I1170" s="10"/>
      <c r="J1170" s="10"/>
      <c r="K1170" s="10"/>
      <c r="L1170" s="10"/>
      <c r="M1170" s="11"/>
      <c r="N1170" s="10"/>
      <c r="O1170" s="10"/>
      <c r="P1170" s="11"/>
      <c r="Q1170" s="10"/>
      <c r="R1170" s="11"/>
      <c r="S1170" s="10"/>
      <c r="T1170" s="10"/>
      <c r="U1170" s="10"/>
      <c r="V1170" s="10"/>
      <c r="W1170" s="10"/>
      <c r="X1170" s="10"/>
      <c r="Y1170" s="10"/>
    </row>
    <row r="1171">
      <c r="A1171" s="10"/>
      <c r="B1171" s="11"/>
      <c r="C1171" s="10"/>
      <c r="D1171" s="9"/>
      <c r="E1171" s="10"/>
      <c r="F1171" s="10"/>
      <c r="G1171" s="10"/>
      <c r="H1171" s="10"/>
      <c r="I1171" s="10"/>
      <c r="J1171" s="10"/>
      <c r="K1171" s="10"/>
      <c r="L1171" s="10"/>
      <c r="M1171" s="11"/>
      <c r="N1171" s="10"/>
      <c r="O1171" s="10"/>
      <c r="P1171" s="11"/>
      <c r="Q1171" s="10"/>
      <c r="R1171" s="11"/>
      <c r="S1171" s="10"/>
      <c r="T1171" s="10"/>
      <c r="U1171" s="10"/>
      <c r="V1171" s="10"/>
      <c r="W1171" s="10"/>
      <c r="X1171" s="10"/>
      <c r="Y1171" s="10"/>
    </row>
    <row r="1172">
      <c r="A1172" s="10"/>
      <c r="B1172" s="11"/>
      <c r="C1172" s="10"/>
      <c r="D1172" s="9"/>
      <c r="E1172" s="10"/>
      <c r="F1172" s="10"/>
      <c r="G1172" s="10"/>
      <c r="H1172" s="10"/>
      <c r="I1172" s="10"/>
      <c r="J1172" s="10"/>
      <c r="K1172" s="10"/>
      <c r="L1172" s="10"/>
      <c r="M1172" s="11"/>
      <c r="N1172" s="10"/>
      <c r="O1172" s="10"/>
      <c r="P1172" s="11"/>
      <c r="Q1172" s="10"/>
      <c r="R1172" s="11"/>
      <c r="S1172" s="10"/>
      <c r="T1172" s="10"/>
      <c r="U1172" s="10"/>
      <c r="V1172" s="10"/>
      <c r="W1172" s="10"/>
      <c r="X1172" s="10"/>
      <c r="Y1172" s="10"/>
    </row>
    <row r="1173">
      <c r="A1173" s="10"/>
      <c r="B1173" s="11"/>
      <c r="C1173" s="10"/>
      <c r="D1173" s="9"/>
      <c r="E1173" s="10"/>
      <c r="F1173" s="10"/>
      <c r="G1173" s="10"/>
      <c r="H1173" s="10"/>
      <c r="I1173" s="10"/>
      <c r="J1173" s="10"/>
      <c r="K1173" s="10"/>
      <c r="L1173" s="10"/>
      <c r="M1173" s="11"/>
      <c r="N1173" s="10"/>
      <c r="O1173" s="10"/>
      <c r="P1173" s="11"/>
      <c r="Q1173" s="10"/>
      <c r="R1173" s="11"/>
      <c r="S1173" s="10"/>
      <c r="T1173" s="10"/>
      <c r="U1173" s="10"/>
      <c r="V1173" s="10"/>
      <c r="W1173" s="10"/>
      <c r="X1173" s="10"/>
      <c r="Y1173" s="10"/>
    </row>
    <row r="1174">
      <c r="A1174" s="10"/>
      <c r="B1174" s="11"/>
      <c r="C1174" s="10"/>
      <c r="D1174" s="9"/>
      <c r="E1174" s="10"/>
      <c r="F1174" s="10"/>
      <c r="G1174" s="10"/>
      <c r="H1174" s="10"/>
      <c r="I1174" s="10"/>
      <c r="J1174" s="10"/>
      <c r="K1174" s="10"/>
      <c r="L1174" s="10"/>
      <c r="M1174" s="11"/>
      <c r="N1174" s="10"/>
      <c r="O1174" s="10"/>
      <c r="P1174" s="11"/>
      <c r="Q1174" s="10"/>
      <c r="R1174" s="11"/>
      <c r="S1174" s="10"/>
      <c r="T1174" s="10"/>
      <c r="U1174" s="10"/>
      <c r="V1174" s="10"/>
      <c r="W1174" s="10"/>
      <c r="X1174" s="10"/>
      <c r="Y1174" s="10"/>
    </row>
    <row r="1175">
      <c r="A1175" s="10"/>
      <c r="B1175" s="11"/>
      <c r="C1175" s="10"/>
      <c r="D1175" s="9"/>
      <c r="E1175" s="10"/>
      <c r="F1175" s="10"/>
      <c r="G1175" s="10"/>
      <c r="H1175" s="10"/>
      <c r="I1175" s="10"/>
      <c r="J1175" s="10"/>
      <c r="K1175" s="10"/>
      <c r="L1175" s="10"/>
      <c r="M1175" s="11"/>
      <c r="N1175" s="10"/>
      <c r="O1175" s="10"/>
      <c r="P1175" s="11"/>
      <c r="Q1175" s="10"/>
      <c r="R1175" s="11"/>
      <c r="S1175" s="10"/>
      <c r="T1175" s="10"/>
      <c r="U1175" s="10"/>
      <c r="V1175" s="10"/>
      <c r="W1175" s="10"/>
      <c r="X1175" s="10"/>
      <c r="Y1175" s="10"/>
    </row>
    <row r="1176">
      <c r="A1176" s="10"/>
      <c r="B1176" s="11"/>
      <c r="C1176" s="10"/>
      <c r="D1176" s="9"/>
      <c r="E1176" s="10"/>
      <c r="F1176" s="10"/>
      <c r="G1176" s="10"/>
      <c r="H1176" s="10"/>
      <c r="I1176" s="10"/>
      <c r="J1176" s="10"/>
      <c r="K1176" s="10"/>
      <c r="L1176" s="10"/>
      <c r="M1176" s="11"/>
      <c r="N1176" s="10"/>
      <c r="O1176" s="10"/>
      <c r="P1176" s="11"/>
      <c r="Q1176" s="10"/>
      <c r="R1176" s="11"/>
      <c r="S1176" s="10"/>
      <c r="T1176" s="10"/>
      <c r="U1176" s="10"/>
      <c r="V1176" s="10"/>
      <c r="W1176" s="10"/>
      <c r="X1176" s="10"/>
      <c r="Y1176" s="10"/>
    </row>
    <row r="1177">
      <c r="A1177" s="10"/>
      <c r="B1177" s="11"/>
      <c r="C1177" s="10"/>
      <c r="D1177" s="9"/>
      <c r="E1177" s="10"/>
      <c r="F1177" s="10"/>
      <c r="G1177" s="10"/>
      <c r="H1177" s="10"/>
      <c r="I1177" s="10"/>
      <c r="J1177" s="10"/>
      <c r="K1177" s="10"/>
      <c r="L1177" s="10"/>
      <c r="M1177" s="11"/>
      <c r="N1177" s="10"/>
      <c r="O1177" s="10"/>
      <c r="P1177" s="11"/>
      <c r="Q1177" s="10"/>
      <c r="R1177" s="11"/>
      <c r="S1177" s="10"/>
      <c r="T1177" s="10"/>
      <c r="U1177" s="10"/>
      <c r="V1177" s="10"/>
      <c r="W1177" s="10"/>
      <c r="X1177" s="10"/>
      <c r="Y1177" s="10"/>
    </row>
    <row r="1178">
      <c r="A1178" s="10"/>
      <c r="B1178" s="11"/>
      <c r="C1178" s="10"/>
      <c r="D1178" s="9"/>
      <c r="E1178" s="10"/>
      <c r="F1178" s="10"/>
      <c r="G1178" s="10"/>
      <c r="H1178" s="10"/>
      <c r="I1178" s="10"/>
      <c r="J1178" s="10"/>
      <c r="K1178" s="10"/>
      <c r="L1178" s="10"/>
      <c r="M1178" s="11"/>
      <c r="N1178" s="10"/>
      <c r="O1178" s="10"/>
      <c r="P1178" s="11"/>
      <c r="Q1178" s="10"/>
      <c r="R1178" s="11"/>
      <c r="S1178" s="10"/>
      <c r="T1178" s="10"/>
      <c r="U1178" s="10"/>
      <c r="V1178" s="10"/>
      <c r="W1178" s="10"/>
      <c r="X1178" s="10"/>
      <c r="Y1178" s="10"/>
    </row>
    <row r="1179">
      <c r="A1179" s="10"/>
      <c r="B1179" s="11"/>
      <c r="C1179" s="10"/>
      <c r="D1179" s="9"/>
      <c r="E1179" s="10"/>
      <c r="F1179" s="10"/>
      <c r="G1179" s="10"/>
      <c r="H1179" s="10"/>
      <c r="I1179" s="10"/>
      <c r="J1179" s="10"/>
      <c r="K1179" s="10"/>
      <c r="L1179" s="10"/>
      <c r="M1179" s="11"/>
      <c r="N1179" s="10"/>
      <c r="O1179" s="10"/>
      <c r="P1179" s="11"/>
      <c r="Q1179" s="10"/>
      <c r="R1179" s="11"/>
      <c r="S1179" s="10"/>
      <c r="T1179" s="10"/>
      <c r="U1179" s="10"/>
      <c r="V1179" s="10"/>
      <c r="W1179" s="10"/>
      <c r="X1179" s="10"/>
      <c r="Y1179" s="10"/>
    </row>
    <row r="1180">
      <c r="A1180" s="10"/>
      <c r="B1180" s="11"/>
      <c r="C1180" s="10"/>
      <c r="D1180" s="9"/>
      <c r="E1180" s="10"/>
      <c r="F1180" s="10"/>
      <c r="G1180" s="10"/>
      <c r="H1180" s="10"/>
      <c r="I1180" s="10"/>
      <c r="J1180" s="10"/>
      <c r="K1180" s="10"/>
      <c r="L1180" s="10"/>
      <c r="M1180" s="11"/>
      <c r="N1180" s="10"/>
      <c r="O1180" s="10"/>
      <c r="P1180" s="11"/>
      <c r="Q1180" s="10"/>
      <c r="R1180" s="11"/>
      <c r="S1180" s="10"/>
      <c r="T1180" s="10"/>
      <c r="U1180" s="10"/>
      <c r="V1180" s="10"/>
      <c r="W1180" s="10"/>
      <c r="X1180" s="10"/>
      <c r="Y1180" s="10"/>
    </row>
    <row r="1181">
      <c r="A1181" s="10"/>
      <c r="B1181" s="11"/>
      <c r="C1181" s="10"/>
      <c r="D1181" s="9"/>
      <c r="E1181" s="10"/>
      <c r="F1181" s="10"/>
      <c r="G1181" s="10"/>
      <c r="H1181" s="10"/>
      <c r="I1181" s="10"/>
      <c r="J1181" s="10"/>
      <c r="K1181" s="10"/>
      <c r="L1181" s="10"/>
      <c r="M1181" s="11"/>
      <c r="N1181" s="10"/>
      <c r="O1181" s="10"/>
      <c r="P1181" s="11"/>
      <c r="Q1181" s="10"/>
      <c r="R1181" s="11"/>
      <c r="S1181" s="10"/>
      <c r="T1181" s="10"/>
      <c r="U1181" s="10"/>
      <c r="V1181" s="10"/>
      <c r="W1181" s="10"/>
      <c r="X1181" s="10"/>
      <c r="Y1181" s="10"/>
    </row>
    <row r="1182">
      <c r="A1182" s="10"/>
      <c r="B1182" s="11"/>
      <c r="C1182" s="10"/>
      <c r="D1182" s="9"/>
      <c r="E1182" s="10"/>
      <c r="F1182" s="10"/>
      <c r="G1182" s="10"/>
      <c r="H1182" s="10"/>
      <c r="I1182" s="10"/>
      <c r="J1182" s="10"/>
      <c r="K1182" s="10"/>
      <c r="L1182" s="10"/>
      <c r="M1182" s="11"/>
      <c r="N1182" s="10"/>
      <c r="O1182" s="10"/>
      <c r="P1182" s="11"/>
      <c r="Q1182" s="10"/>
      <c r="R1182" s="11"/>
      <c r="S1182" s="10"/>
      <c r="T1182" s="10"/>
      <c r="U1182" s="10"/>
      <c r="V1182" s="10"/>
      <c r="W1182" s="10"/>
      <c r="X1182" s="10"/>
      <c r="Y1182" s="10"/>
    </row>
    <row r="1183">
      <c r="A1183" s="10"/>
      <c r="B1183" s="11"/>
      <c r="C1183" s="10"/>
      <c r="D1183" s="9"/>
      <c r="E1183" s="10"/>
      <c r="F1183" s="10"/>
      <c r="G1183" s="10"/>
      <c r="H1183" s="10"/>
      <c r="I1183" s="10"/>
      <c r="J1183" s="10"/>
      <c r="K1183" s="10"/>
      <c r="L1183" s="10"/>
      <c r="M1183" s="11"/>
      <c r="N1183" s="10"/>
      <c r="O1183" s="10"/>
      <c r="P1183" s="11"/>
      <c r="Q1183" s="10"/>
      <c r="R1183" s="11"/>
      <c r="S1183" s="10"/>
      <c r="T1183" s="10"/>
      <c r="U1183" s="10"/>
      <c r="V1183" s="10"/>
      <c r="W1183" s="10"/>
      <c r="X1183" s="10"/>
      <c r="Y1183" s="10"/>
    </row>
    <row r="1184">
      <c r="A1184" s="10"/>
      <c r="B1184" s="11"/>
      <c r="C1184" s="10"/>
      <c r="D1184" s="9"/>
      <c r="E1184" s="10"/>
      <c r="F1184" s="10"/>
      <c r="G1184" s="10"/>
      <c r="H1184" s="10"/>
      <c r="I1184" s="10"/>
      <c r="J1184" s="10"/>
      <c r="K1184" s="10"/>
      <c r="L1184" s="10"/>
      <c r="M1184" s="11"/>
      <c r="N1184" s="10"/>
      <c r="O1184" s="10"/>
      <c r="P1184" s="11"/>
      <c r="Q1184" s="10"/>
      <c r="R1184" s="11"/>
      <c r="S1184" s="10"/>
      <c r="T1184" s="10"/>
      <c r="U1184" s="10"/>
      <c r="V1184" s="10"/>
      <c r="W1184" s="10"/>
      <c r="X1184" s="10"/>
      <c r="Y1184" s="10"/>
    </row>
    <row r="1185">
      <c r="A1185" s="10"/>
      <c r="B1185" s="11"/>
      <c r="C1185" s="10"/>
      <c r="D1185" s="9"/>
      <c r="E1185" s="10"/>
      <c r="F1185" s="10"/>
      <c r="G1185" s="10"/>
      <c r="H1185" s="10"/>
      <c r="I1185" s="10"/>
      <c r="J1185" s="10"/>
      <c r="K1185" s="10"/>
      <c r="L1185" s="10"/>
      <c r="M1185" s="11"/>
      <c r="N1185" s="10"/>
      <c r="O1185" s="10"/>
      <c r="P1185" s="11"/>
      <c r="Q1185" s="10"/>
      <c r="R1185" s="11"/>
      <c r="S1185" s="10"/>
      <c r="T1185" s="10"/>
      <c r="U1185" s="10"/>
      <c r="V1185" s="10"/>
      <c r="W1185" s="10"/>
      <c r="X1185" s="10"/>
      <c r="Y1185" s="10"/>
    </row>
    <row r="1186">
      <c r="A1186" s="10"/>
      <c r="B1186" s="11"/>
      <c r="C1186" s="10"/>
      <c r="D1186" s="9"/>
      <c r="E1186" s="10"/>
      <c r="F1186" s="10"/>
      <c r="G1186" s="10"/>
      <c r="H1186" s="10"/>
      <c r="I1186" s="10"/>
      <c r="J1186" s="10"/>
      <c r="K1186" s="10"/>
      <c r="L1186" s="10"/>
      <c r="M1186" s="11"/>
      <c r="N1186" s="10"/>
      <c r="O1186" s="10"/>
      <c r="P1186" s="11"/>
      <c r="Q1186" s="10"/>
      <c r="R1186" s="11"/>
      <c r="S1186" s="10"/>
      <c r="T1186" s="10"/>
      <c r="U1186" s="10"/>
      <c r="V1186" s="10"/>
      <c r="W1186" s="10"/>
      <c r="X1186" s="10"/>
      <c r="Y1186" s="10"/>
    </row>
    <row r="1187">
      <c r="A1187" s="10"/>
      <c r="B1187" s="11"/>
      <c r="C1187" s="10"/>
      <c r="D1187" s="9"/>
      <c r="E1187" s="10"/>
      <c r="F1187" s="10"/>
      <c r="G1187" s="10"/>
      <c r="H1187" s="10"/>
      <c r="I1187" s="10"/>
      <c r="J1187" s="10"/>
      <c r="K1187" s="10"/>
      <c r="L1187" s="10"/>
      <c r="M1187" s="11"/>
      <c r="N1187" s="10"/>
      <c r="O1187" s="10"/>
      <c r="P1187" s="11"/>
      <c r="Q1187" s="10"/>
      <c r="R1187" s="11"/>
      <c r="S1187" s="10"/>
      <c r="T1187" s="10"/>
      <c r="U1187" s="10"/>
      <c r="V1187" s="10"/>
      <c r="W1187" s="10"/>
      <c r="X1187" s="10"/>
      <c r="Y1187" s="10"/>
    </row>
    <row r="1188">
      <c r="A1188" s="10"/>
      <c r="B1188" s="11"/>
      <c r="C1188" s="10"/>
      <c r="D1188" s="9"/>
      <c r="E1188" s="10"/>
      <c r="F1188" s="10"/>
      <c r="G1188" s="10"/>
      <c r="H1188" s="10"/>
      <c r="I1188" s="10"/>
      <c r="J1188" s="10"/>
      <c r="K1188" s="10"/>
      <c r="L1188" s="10"/>
      <c r="M1188" s="11"/>
      <c r="N1188" s="10"/>
      <c r="O1188" s="10"/>
      <c r="P1188" s="11"/>
      <c r="Q1188" s="10"/>
      <c r="R1188" s="11"/>
      <c r="S1188" s="10"/>
      <c r="T1188" s="10"/>
      <c r="U1188" s="10"/>
      <c r="V1188" s="10"/>
      <c r="W1188" s="10"/>
      <c r="X1188" s="10"/>
      <c r="Y1188" s="10"/>
    </row>
    <row r="1189">
      <c r="A1189" s="10"/>
      <c r="B1189" s="11"/>
      <c r="C1189" s="10"/>
      <c r="D1189" s="9"/>
      <c r="E1189" s="10"/>
      <c r="F1189" s="10"/>
      <c r="G1189" s="10"/>
      <c r="H1189" s="10"/>
      <c r="I1189" s="10"/>
      <c r="J1189" s="10"/>
      <c r="K1189" s="10"/>
      <c r="L1189" s="10"/>
      <c r="M1189" s="11"/>
      <c r="N1189" s="10"/>
      <c r="O1189" s="10"/>
      <c r="P1189" s="11"/>
      <c r="Q1189" s="10"/>
      <c r="R1189" s="11"/>
      <c r="S1189" s="10"/>
      <c r="T1189" s="10"/>
      <c r="U1189" s="10"/>
      <c r="V1189" s="10"/>
      <c r="W1189" s="10"/>
      <c r="X1189" s="10"/>
      <c r="Y1189" s="10"/>
    </row>
    <row r="1190">
      <c r="A1190" s="10"/>
      <c r="B1190" s="11"/>
      <c r="C1190" s="10"/>
      <c r="D1190" s="9"/>
      <c r="E1190" s="10"/>
      <c r="F1190" s="10"/>
      <c r="G1190" s="10"/>
      <c r="H1190" s="10"/>
      <c r="I1190" s="10"/>
      <c r="J1190" s="10"/>
      <c r="K1190" s="10"/>
      <c r="L1190" s="10"/>
      <c r="M1190" s="11"/>
      <c r="N1190" s="10"/>
      <c r="O1190" s="10"/>
      <c r="P1190" s="11"/>
      <c r="Q1190" s="10"/>
      <c r="R1190" s="11"/>
      <c r="S1190" s="10"/>
      <c r="T1190" s="10"/>
      <c r="U1190" s="10"/>
      <c r="V1190" s="10"/>
      <c r="W1190" s="10"/>
      <c r="X1190" s="10"/>
      <c r="Y1190" s="10"/>
    </row>
    <row r="1191">
      <c r="A1191" s="10"/>
      <c r="B1191" s="11"/>
      <c r="C1191" s="10"/>
      <c r="D1191" s="9"/>
      <c r="E1191" s="10"/>
      <c r="F1191" s="10"/>
      <c r="G1191" s="10"/>
      <c r="H1191" s="10"/>
      <c r="I1191" s="10"/>
      <c r="J1191" s="10"/>
      <c r="K1191" s="10"/>
      <c r="L1191" s="10"/>
      <c r="M1191" s="11"/>
      <c r="N1191" s="10"/>
      <c r="O1191" s="10"/>
      <c r="P1191" s="11"/>
      <c r="Q1191" s="10"/>
      <c r="R1191" s="11"/>
      <c r="S1191" s="10"/>
      <c r="T1191" s="10"/>
      <c r="U1191" s="10"/>
      <c r="V1191" s="10"/>
      <c r="W1191" s="10"/>
      <c r="X1191" s="10"/>
      <c r="Y1191" s="10"/>
    </row>
    <row r="1192">
      <c r="A1192" s="10"/>
      <c r="B1192" s="11"/>
      <c r="C1192" s="10"/>
      <c r="D1192" s="9"/>
      <c r="E1192" s="10"/>
      <c r="F1192" s="10"/>
      <c r="G1192" s="10"/>
      <c r="H1192" s="10"/>
      <c r="I1192" s="10"/>
      <c r="J1192" s="10"/>
      <c r="K1192" s="10"/>
      <c r="L1192" s="10"/>
      <c r="M1192" s="11"/>
      <c r="N1192" s="10"/>
      <c r="O1192" s="10"/>
      <c r="P1192" s="11"/>
      <c r="Q1192" s="10"/>
      <c r="R1192" s="11"/>
      <c r="S1192" s="10"/>
      <c r="T1192" s="10"/>
      <c r="U1192" s="10"/>
      <c r="V1192" s="10"/>
      <c r="W1192" s="10"/>
      <c r="X1192" s="10"/>
      <c r="Y1192" s="10"/>
    </row>
    <row r="1193">
      <c r="A1193" s="10"/>
      <c r="B1193" s="11"/>
      <c r="C1193" s="10"/>
      <c r="D1193" s="9"/>
      <c r="E1193" s="10"/>
      <c r="F1193" s="10"/>
      <c r="G1193" s="10"/>
      <c r="H1193" s="10"/>
      <c r="I1193" s="10"/>
      <c r="J1193" s="10"/>
      <c r="K1193" s="10"/>
      <c r="L1193" s="10"/>
      <c r="M1193" s="11"/>
      <c r="N1193" s="10"/>
      <c r="O1193" s="10"/>
      <c r="P1193" s="11"/>
      <c r="Q1193" s="10"/>
      <c r="R1193" s="11"/>
      <c r="S1193" s="10"/>
      <c r="T1193" s="10"/>
      <c r="U1193" s="10"/>
      <c r="V1193" s="10"/>
      <c r="W1193" s="10"/>
      <c r="X1193" s="10"/>
      <c r="Y1193" s="10"/>
    </row>
    <row r="1194">
      <c r="A1194" s="10"/>
      <c r="B1194" s="11"/>
      <c r="C1194" s="10"/>
      <c r="D1194" s="9"/>
      <c r="E1194" s="10"/>
      <c r="F1194" s="10"/>
      <c r="G1194" s="10"/>
      <c r="H1194" s="10"/>
      <c r="I1194" s="10"/>
      <c r="J1194" s="10"/>
      <c r="K1194" s="10"/>
      <c r="L1194" s="10"/>
      <c r="M1194" s="11"/>
      <c r="N1194" s="10"/>
      <c r="O1194" s="10"/>
      <c r="P1194" s="11"/>
      <c r="Q1194" s="10"/>
      <c r="R1194" s="11"/>
      <c r="S1194" s="10"/>
      <c r="T1194" s="10"/>
      <c r="U1194" s="10"/>
      <c r="V1194" s="10"/>
      <c r="W1194" s="10"/>
      <c r="X1194" s="10"/>
      <c r="Y1194" s="10"/>
    </row>
    <row r="1195">
      <c r="A1195" s="10"/>
      <c r="B1195" s="11"/>
      <c r="C1195" s="10"/>
      <c r="D1195" s="9"/>
      <c r="E1195" s="10"/>
      <c r="F1195" s="10"/>
      <c r="G1195" s="10"/>
      <c r="H1195" s="10"/>
      <c r="I1195" s="10"/>
      <c r="J1195" s="10"/>
      <c r="K1195" s="10"/>
      <c r="L1195" s="10"/>
      <c r="M1195" s="11"/>
      <c r="N1195" s="10"/>
      <c r="O1195" s="10"/>
      <c r="P1195" s="11"/>
      <c r="Q1195" s="10"/>
      <c r="R1195" s="11"/>
      <c r="S1195" s="10"/>
      <c r="T1195" s="10"/>
      <c r="U1195" s="10"/>
      <c r="V1195" s="10"/>
      <c r="W1195" s="10"/>
      <c r="X1195" s="10"/>
      <c r="Y1195" s="10"/>
    </row>
    <row r="1196">
      <c r="A1196" s="10"/>
      <c r="B1196" s="11"/>
      <c r="C1196" s="10"/>
      <c r="D1196" s="9"/>
      <c r="E1196" s="10"/>
      <c r="F1196" s="10"/>
      <c r="G1196" s="10"/>
      <c r="H1196" s="10"/>
      <c r="I1196" s="10"/>
      <c r="J1196" s="10"/>
      <c r="K1196" s="10"/>
      <c r="L1196" s="10"/>
      <c r="M1196" s="11"/>
      <c r="N1196" s="10"/>
      <c r="O1196" s="10"/>
      <c r="P1196" s="11"/>
      <c r="Q1196" s="10"/>
      <c r="R1196" s="11"/>
      <c r="S1196" s="10"/>
      <c r="T1196" s="10"/>
      <c r="U1196" s="10"/>
      <c r="V1196" s="10"/>
      <c r="W1196" s="10"/>
      <c r="X1196" s="10"/>
      <c r="Y1196" s="10"/>
    </row>
    <row r="1197">
      <c r="A1197" s="10"/>
      <c r="B1197" s="11"/>
      <c r="C1197" s="10"/>
      <c r="D1197" s="9"/>
      <c r="E1197" s="10"/>
      <c r="F1197" s="10"/>
      <c r="G1197" s="10"/>
      <c r="H1197" s="10"/>
      <c r="I1197" s="10"/>
      <c r="J1197" s="10"/>
      <c r="K1197" s="10"/>
      <c r="L1197" s="10"/>
      <c r="M1197" s="11"/>
      <c r="N1197" s="10"/>
      <c r="O1197" s="10"/>
      <c r="P1197" s="11"/>
      <c r="Q1197" s="10"/>
      <c r="R1197" s="11"/>
      <c r="S1197" s="10"/>
      <c r="T1197" s="10"/>
      <c r="U1197" s="10"/>
      <c r="V1197" s="10"/>
      <c r="W1197" s="10"/>
      <c r="X1197" s="10"/>
      <c r="Y1197" s="10"/>
    </row>
    <row r="1198">
      <c r="A1198" s="10"/>
      <c r="B1198" s="11"/>
      <c r="C1198" s="10"/>
      <c r="D1198" s="9"/>
      <c r="E1198" s="10"/>
      <c r="F1198" s="10"/>
      <c r="G1198" s="10"/>
      <c r="H1198" s="10"/>
      <c r="I1198" s="10"/>
      <c r="J1198" s="10"/>
      <c r="K1198" s="10"/>
      <c r="L1198" s="10"/>
      <c r="M1198" s="11"/>
      <c r="N1198" s="10"/>
      <c r="O1198" s="10"/>
      <c r="P1198" s="11"/>
      <c r="Q1198" s="10"/>
      <c r="R1198" s="11"/>
      <c r="S1198" s="10"/>
      <c r="T1198" s="10"/>
      <c r="U1198" s="10"/>
      <c r="V1198" s="10"/>
      <c r="W1198" s="10"/>
      <c r="X1198" s="10"/>
      <c r="Y1198" s="10"/>
    </row>
    <row r="1199">
      <c r="A1199" s="10"/>
      <c r="B1199" s="11"/>
      <c r="C1199" s="10"/>
      <c r="D1199" s="9"/>
      <c r="E1199" s="10"/>
      <c r="F1199" s="10"/>
      <c r="G1199" s="10"/>
      <c r="H1199" s="10"/>
      <c r="I1199" s="10"/>
      <c r="J1199" s="10"/>
      <c r="K1199" s="10"/>
      <c r="L1199" s="10"/>
      <c r="M1199" s="11"/>
      <c r="N1199" s="10"/>
      <c r="O1199" s="10"/>
      <c r="P1199" s="11"/>
      <c r="Q1199" s="10"/>
      <c r="R1199" s="11"/>
      <c r="S1199" s="10"/>
      <c r="T1199" s="10"/>
      <c r="U1199" s="10"/>
      <c r="V1199" s="10"/>
      <c r="W1199" s="10"/>
      <c r="X1199" s="10"/>
      <c r="Y1199" s="10"/>
    </row>
    <row r="1200">
      <c r="A1200" s="10"/>
      <c r="B1200" s="11"/>
      <c r="C1200" s="10"/>
      <c r="D1200" s="9"/>
      <c r="E1200" s="10"/>
      <c r="F1200" s="10"/>
      <c r="G1200" s="10"/>
      <c r="H1200" s="10"/>
      <c r="I1200" s="10"/>
      <c r="J1200" s="10"/>
      <c r="K1200" s="10"/>
      <c r="L1200" s="10"/>
      <c r="M1200" s="11"/>
      <c r="N1200" s="10"/>
      <c r="O1200" s="10"/>
      <c r="P1200" s="11"/>
      <c r="Q1200" s="10"/>
      <c r="R1200" s="11"/>
      <c r="S1200" s="10"/>
      <c r="T1200" s="10"/>
      <c r="U1200" s="10"/>
      <c r="V1200" s="10"/>
      <c r="W1200" s="10"/>
      <c r="X1200" s="10"/>
      <c r="Y1200" s="10"/>
    </row>
    <row r="1201">
      <c r="A1201" s="10"/>
      <c r="B1201" s="11"/>
      <c r="C1201" s="10"/>
      <c r="D1201" s="9"/>
      <c r="E1201" s="10"/>
      <c r="F1201" s="10"/>
      <c r="G1201" s="10"/>
      <c r="H1201" s="10"/>
      <c r="I1201" s="10"/>
      <c r="J1201" s="10"/>
      <c r="K1201" s="10"/>
      <c r="L1201" s="10"/>
      <c r="M1201" s="11"/>
      <c r="N1201" s="10"/>
      <c r="O1201" s="10"/>
      <c r="P1201" s="11"/>
      <c r="Q1201" s="10"/>
      <c r="R1201" s="11"/>
      <c r="S1201" s="10"/>
      <c r="T1201" s="10"/>
      <c r="U1201" s="10"/>
      <c r="V1201" s="10"/>
      <c r="W1201" s="10"/>
      <c r="X1201" s="10"/>
      <c r="Y1201" s="10"/>
    </row>
    <row r="1202">
      <c r="A1202" s="10"/>
      <c r="B1202" s="11"/>
      <c r="C1202" s="10"/>
      <c r="D1202" s="9"/>
      <c r="E1202" s="10"/>
      <c r="F1202" s="10"/>
      <c r="G1202" s="10"/>
      <c r="H1202" s="10"/>
      <c r="I1202" s="10"/>
      <c r="J1202" s="10"/>
      <c r="K1202" s="10"/>
      <c r="L1202" s="10"/>
      <c r="M1202" s="11"/>
      <c r="N1202" s="10"/>
      <c r="O1202" s="10"/>
      <c r="P1202" s="11"/>
      <c r="Q1202" s="10"/>
      <c r="R1202" s="11"/>
      <c r="S1202" s="10"/>
      <c r="T1202" s="10"/>
      <c r="U1202" s="10"/>
      <c r="V1202" s="10"/>
      <c r="W1202" s="10"/>
      <c r="X1202" s="10"/>
      <c r="Y1202" s="10"/>
    </row>
  </sheetData>
  <autoFilter ref="$A$2:$Y$902"/>
  <mergeCells count="1">
    <mergeCell ref="C1:D1"/>
  </mergeCells>
  <hyperlinks>
    <hyperlink r:id="rId1" ref="A267"/>
    <hyperlink r:id="rId2" ref="D521"/>
    <hyperlink r:id="rId3" ref="A67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3.63"/>
    <col customWidth="1" min="5" max="5" width="14.38"/>
  </cols>
  <sheetData>
    <row r="2">
      <c r="A2" s="27" t="s">
        <v>6252</v>
      </c>
      <c r="B2" s="27" t="s">
        <v>6253</v>
      </c>
    </row>
    <row r="3">
      <c r="A3" s="28" t="s">
        <v>6254</v>
      </c>
      <c r="B3" s="29">
        <f>COUNTIF('List of Companies'!C$2:C1000,"Yes")</f>
        <v>73</v>
      </c>
      <c r="C3" s="30" t="s">
        <v>6255</v>
      </c>
    </row>
    <row r="4">
      <c r="A4" s="28" t="s">
        <v>762</v>
      </c>
      <c r="B4" s="29">
        <f>COUNTIF('List of Companies'!C$2:C1000,"Supporting Fintech")</f>
        <v>155</v>
      </c>
      <c r="C4" s="30" t="s">
        <v>6256</v>
      </c>
    </row>
    <row r="5">
      <c r="A5" s="28" t="s">
        <v>20</v>
      </c>
      <c r="B5" s="29">
        <f>COUNTIF('List of Companies'!C$2:C1000,"No")</f>
        <v>772</v>
      </c>
      <c r="C5" s="30" t="s">
        <v>6257</v>
      </c>
    </row>
    <row r="6">
      <c r="A6" s="28" t="s">
        <v>6258</v>
      </c>
      <c r="B6" s="29">
        <f>SUM(B3:B5)</f>
        <v>1000</v>
      </c>
    </row>
  </sheetData>
  <drawing r:id="rId1"/>
</worksheet>
</file>